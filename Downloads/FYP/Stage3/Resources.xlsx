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6 Semester\Software Project Management Lab\Updated Project Stage 3\"/>
    </mc:Choice>
  </mc:AlternateContent>
  <xr:revisionPtr revIDLastSave="0" documentId="13_ncr:1_{8A3142AD-02A6-4D84-8B49-64B8F2380220}" xr6:coauthVersionLast="47" xr6:coauthVersionMax="47" xr10:uidLastSave="{00000000-0000-0000-0000-000000000000}"/>
  <bookViews>
    <workbookView xWindow="-108" yWindow="-108" windowWidth="23256" windowHeight="12576" xr2:uid="{CC4E4F4A-E3C9-422A-85BE-E4EE3A901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5" i="1" s="1"/>
  <c r="D22" i="1"/>
  <c r="D23" i="1"/>
  <c r="D17" i="1"/>
</calcChain>
</file>

<file path=xl/sharedStrings.xml><?xml version="1.0" encoding="utf-8"?>
<sst xmlns="http://schemas.openxmlformats.org/spreadsheetml/2006/main" count="102" uniqueCount="73">
  <si>
    <t>Resource Sheet</t>
  </si>
  <si>
    <t>Resource Name</t>
  </si>
  <si>
    <t>Type</t>
  </si>
  <si>
    <t>Std Rate</t>
  </si>
  <si>
    <t>Role</t>
  </si>
  <si>
    <t>Max Unit</t>
  </si>
  <si>
    <t>Project Manager</t>
  </si>
  <si>
    <t>Team Lead</t>
  </si>
  <si>
    <t>UI/UX Designer</t>
  </si>
  <si>
    <t>Backend Developer</t>
  </si>
  <si>
    <t>Frontend Developer</t>
  </si>
  <si>
    <t>FullStack Developer</t>
  </si>
  <si>
    <t>QA Engineer</t>
  </si>
  <si>
    <t>work</t>
  </si>
  <si>
    <t>5,000/hr</t>
  </si>
  <si>
    <t>3,500/hr</t>
  </si>
  <si>
    <t>2,000/hr</t>
  </si>
  <si>
    <t>1,000/hr</t>
  </si>
  <si>
    <t>500/hr</t>
  </si>
  <si>
    <t>800/hr</t>
  </si>
  <si>
    <t>Working Hours</t>
  </si>
  <si>
    <t>Resource</t>
  </si>
  <si>
    <t>Working Hrs</t>
  </si>
  <si>
    <t>Status</t>
  </si>
  <si>
    <t>Issue</t>
  </si>
  <si>
    <t>Solution</t>
  </si>
  <si>
    <t>Resource Assigned</t>
  </si>
  <si>
    <t>Task/ Resource Name</t>
  </si>
  <si>
    <t>Assigned Resources</t>
  </si>
  <si>
    <t>Project Manager, Team Lead</t>
  </si>
  <si>
    <t>Project Idea Selection</t>
  </si>
  <si>
    <t>Project Proposal Preparation</t>
  </si>
  <si>
    <t>Project Charter Development</t>
  </si>
  <si>
    <t>Requirements Gathering</t>
  </si>
  <si>
    <t>System Analysis &amp; Risk Identification</t>
  </si>
  <si>
    <t>Budget &amp; Resource Planning</t>
  </si>
  <si>
    <t>UI/UX Design</t>
  </si>
  <si>
    <t>DB &amp; Architecture Design</t>
  </si>
  <si>
    <t>Login &amp; Authentication Module</t>
  </si>
  <si>
    <t>Supervisor Search Module</t>
  </si>
  <si>
    <t>Proposal Submission &amp; Approval</t>
  </si>
  <si>
    <t>Weekly Progress Reports Module</t>
  </si>
  <si>
    <t>Meeting Scheduling Module</t>
  </si>
  <si>
    <t>Deadline Reminder &amp; Notification</t>
  </si>
  <si>
    <t>FYP Committee Dashboard</t>
  </si>
  <si>
    <t>Unit &amp; Integration Testing</t>
  </si>
  <si>
    <t>User Acceptance &amp; Security Testing</t>
  </si>
  <si>
    <t>Server Setup &amp; Web Deployment</t>
  </si>
  <si>
    <t>User Training</t>
  </si>
  <si>
    <t>Documentation Submission</t>
  </si>
  <si>
    <t>Final Project Review &amp; Sign-off</t>
  </si>
  <si>
    <t>Total Working Hours</t>
  </si>
  <si>
    <t>Developer</t>
  </si>
  <si>
    <t>Design</t>
  </si>
  <si>
    <t>Testing</t>
  </si>
  <si>
    <t>Management</t>
  </si>
  <si>
    <t>Task</t>
  </si>
  <si>
    <t>Project Initiation</t>
  </si>
  <si>
    <t>Requirements and Planning</t>
  </si>
  <si>
    <t>System Design</t>
  </si>
  <si>
    <t>Development</t>
  </si>
  <si>
    <t>Testing and QA</t>
  </si>
  <si>
    <t>Deployment</t>
  </si>
  <si>
    <t>Project Closure</t>
  </si>
  <si>
    <t>Project Manager, QA  Engineer</t>
  </si>
  <si>
    <t xml:space="preserve">Server </t>
  </si>
  <si>
    <t>Cost</t>
  </si>
  <si>
    <t>Fixed Cost: $5000</t>
  </si>
  <si>
    <t>FullStack Developer,Server</t>
  </si>
  <si>
    <t>Overallocated (Resolved)</t>
  </si>
  <si>
    <t>FullStack Developer overallocated: Max Units reduced to 50%, but task assignments (Supervisor Search Module, Proposal Submission &amp; Approval, Meeting Scheduling Module, FYP Committee Dashboard, Server Setup &amp; Web Deployment) were still at 100% Units, exceeding resource capacity.</t>
  </si>
  <si>
    <t>Reduced assignment Units on all FullStack Developer tasks from 100% to 50% to match resource Max Units, resolving the overallocation (confirmed via Resource Usage/Resource Graph view).</t>
  </si>
  <si>
    <t>Est.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</si>
</sst>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9" fontId="3" fillId="0" borderId="1" xfId="0" applyNumberFormat="1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2BAD-242F-437B-8BC3-584EBDF8DE7F}">
  <dimension ref="B1:L32"/>
  <sheetViews>
    <sheetView tabSelected="1" topLeftCell="A16" zoomScale="111" workbookViewId="0">
      <selection activeCell="D10" sqref="D10"/>
    </sheetView>
  </sheetViews>
  <sheetFormatPr defaultRowHeight="13.8" x14ac:dyDescent="0.25"/>
  <cols>
    <col min="1" max="1" width="8.88671875" style="1"/>
    <col min="2" max="2" width="23.21875" style="1" bestFit="1" customWidth="1"/>
    <col min="3" max="3" width="17.33203125" style="1" bestFit="1" customWidth="1"/>
    <col min="4" max="4" width="18.21875" style="1" customWidth="1"/>
    <col min="5" max="5" width="11.77734375" style="1" bestFit="1" customWidth="1"/>
    <col min="6" max="10" width="8.88671875" style="1"/>
    <col min="11" max="11" width="31" style="1" bestFit="1" customWidth="1"/>
    <col min="12" max="12" width="26.77734375" style="1" bestFit="1" customWidth="1"/>
    <col min="13" max="16384" width="8.88671875" style="1"/>
  </cols>
  <sheetData>
    <row r="1" spans="2:12" ht="20.399999999999999" x14ac:dyDescent="0.35">
      <c r="B1" s="6" t="s">
        <v>0</v>
      </c>
      <c r="C1" s="7"/>
      <c r="D1" s="7"/>
      <c r="E1" s="7"/>
      <c r="F1" s="7"/>
      <c r="K1" s="6" t="s">
        <v>26</v>
      </c>
      <c r="L1" s="7"/>
    </row>
    <row r="2" spans="2:12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K2" s="2" t="s">
        <v>27</v>
      </c>
      <c r="L2" s="2" t="s">
        <v>28</v>
      </c>
    </row>
    <row r="3" spans="2:12" x14ac:dyDescent="0.25">
      <c r="B3" s="3" t="s">
        <v>6</v>
      </c>
      <c r="C3" s="3" t="s">
        <v>13</v>
      </c>
      <c r="D3" s="3" t="s">
        <v>14</v>
      </c>
      <c r="E3" s="3" t="s">
        <v>55</v>
      </c>
      <c r="F3" s="4">
        <v>1</v>
      </c>
      <c r="K3" s="3" t="s">
        <v>30</v>
      </c>
      <c r="L3" s="3" t="s">
        <v>6</v>
      </c>
    </row>
    <row r="4" spans="2:12" x14ac:dyDescent="0.25">
      <c r="B4" s="3" t="s">
        <v>7</v>
      </c>
      <c r="C4" s="3" t="s">
        <v>13</v>
      </c>
      <c r="D4" s="3" t="s">
        <v>15</v>
      </c>
      <c r="E4" s="3" t="s">
        <v>55</v>
      </c>
      <c r="F4" s="4">
        <v>1</v>
      </c>
      <c r="K4" s="3" t="s">
        <v>31</v>
      </c>
      <c r="L4" s="3" t="s">
        <v>29</v>
      </c>
    </row>
    <row r="5" spans="2:12" x14ac:dyDescent="0.25">
      <c r="B5" s="3" t="s">
        <v>8</v>
      </c>
      <c r="C5" s="3" t="s">
        <v>13</v>
      </c>
      <c r="D5" s="3" t="s">
        <v>16</v>
      </c>
      <c r="E5" s="3" t="s">
        <v>53</v>
      </c>
      <c r="F5" s="4">
        <v>1</v>
      </c>
      <c r="K5" s="3" t="s">
        <v>32</v>
      </c>
      <c r="L5" s="3" t="s">
        <v>6</v>
      </c>
    </row>
    <row r="6" spans="2:12" x14ac:dyDescent="0.25">
      <c r="B6" s="3" t="s">
        <v>9</v>
      </c>
      <c r="C6" s="3" t="s">
        <v>13</v>
      </c>
      <c r="D6" s="3" t="s">
        <v>17</v>
      </c>
      <c r="E6" s="3" t="s">
        <v>52</v>
      </c>
      <c r="F6" s="4">
        <v>1</v>
      </c>
      <c r="K6" s="3" t="s">
        <v>33</v>
      </c>
      <c r="L6" s="3" t="s">
        <v>29</v>
      </c>
    </row>
    <row r="7" spans="2:12" x14ac:dyDescent="0.25">
      <c r="B7" s="3" t="s">
        <v>10</v>
      </c>
      <c r="C7" s="3" t="s">
        <v>13</v>
      </c>
      <c r="D7" s="3" t="s">
        <v>16</v>
      </c>
      <c r="E7" s="3" t="s">
        <v>52</v>
      </c>
      <c r="F7" s="4">
        <v>1</v>
      </c>
      <c r="K7" s="3" t="s">
        <v>34</v>
      </c>
      <c r="L7" s="3" t="s">
        <v>7</v>
      </c>
    </row>
    <row r="8" spans="2:12" x14ac:dyDescent="0.25">
      <c r="B8" s="3" t="s">
        <v>11</v>
      </c>
      <c r="C8" s="3" t="s">
        <v>13</v>
      </c>
      <c r="D8" s="3" t="s">
        <v>18</v>
      </c>
      <c r="E8" s="3" t="s">
        <v>52</v>
      </c>
      <c r="F8" s="4">
        <v>1</v>
      </c>
      <c r="K8" s="3" t="s">
        <v>35</v>
      </c>
      <c r="L8" s="3" t="s">
        <v>6</v>
      </c>
    </row>
    <row r="9" spans="2:12" x14ac:dyDescent="0.25">
      <c r="B9" s="3" t="s">
        <v>65</v>
      </c>
      <c r="C9" s="3" t="s">
        <v>66</v>
      </c>
      <c r="D9" s="3" t="s">
        <v>67</v>
      </c>
      <c r="E9" s="3"/>
      <c r="F9" s="4"/>
      <c r="K9" s="3"/>
      <c r="L9" s="3"/>
    </row>
    <row r="10" spans="2:12" x14ac:dyDescent="0.25">
      <c r="B10" s="3" t="s">
        <v>12</v>
      </c>
      <c r="C10" s="3" t="s">
        <v>13</v>
      </c>
      <c r="D10" s="3" t="s">
        <v>19</v>
      </c>
      <c r="E10" s="3" t="s">
        <v>54</v>
      </c>
      <c r="F10" s="4">
        <v>1</v>
      </c>
      <c r="K10" s="3" t="s">
        <v>36</v>
      </c>
      <c r="L10" s="3" t="s">
        <v>8</v>
      </c>
    </row>
    <row r="11" spans="2:12" x14ac:dyDescent="0.25">
      <c r="K11" s="3" t="s">
        <v>37</v>
      </c>
      <c r="L11" s="3" t="s">
        <v>9</v>
      </c>
    </row>
    <row r="12" spans="2:12" x14ac:dyDescent="0.25">
      <c r="K12" s="3" t="s">
        <v>38</v>
      </c>
      <c r="L12" s="3" t="s">
        <v>10</v>
      </c>
    </row>
    <row r="13" spans="2:12" x14ac:dyDescent="0.25">
      <c r="K13" s="3" t="s">
        <v>39</v>
      </c>
      <c r="L13" s="3" t="s">
        <v>11</v>
      </c>
    </row>
    <row r="14" spans="2:12" x14ac:dyDescent="0.25">
      <c r="B14" s="6" t="s">
        <v>20</v>
      </c>
      <c r="C14" s="8"/>
      <c r="D14" s="8"/>
      <c r="K14" s="3" t="s">
        <v>40</v>
      </c>
      <c r="L14" s="3" t="s">
        <v>11</v>
      </c>
    </row>
    <row r="15" spans="2:12" x14ac:dyDescent="0.25">
      <c r="B15" s="8"/>
      <c r="C15" s="8"/>
      <c r="D15" s="8"/>
      <c r="K15" s="3" t="s">
        <v>41</v>
      </c>
      <c r="L15" s="3" t="s">
        <v>9</v>
      </c>
    </row>
    <row r="16" spans="2:12" x14ac:dyDescent="0.25">
      <c r="B16" s="2" t="s">
        <v>56</v>
      </c>
      <c r="C16" s="2" t="s">
        <v>72</v>
      </c>
      <c r="D16" s="2" t="s">
        <v>22</v>
      </c>
      <c r="K16" s="3" t="s">
        <v>42</v>
      </c>
      <c r="L16" s="3" t="s">
        <v>11</v>
      </c>
    </row>
    <row r="17" spans="2:12" x14ac:dyDescent="0.25">
      <c r="B17" s="3" t="s">
        <v>57</v>
      </c>
      <c r="C17" s="3">
        <v>21</v>
      </c>
      <c r="D17" s="3">
        <f>C17*8</f>
        <v>168</v>
      </c>
      <c r="K17" s="3" t="s">
        <v>43</v>
      </c>
      <c r="L17" s="3" t="s">
        <v>9</v>
      </c>
    </row>
    <row r="18" spans="2:12" x14ac:dyDescent="0.25">
      <c r="B18" s="3" t="s">
        <v>58</v>
      </c>
      <c r="C18" s="3">
        <v>14</v>
      </c>
      <c r="D18" s="3">
        <f t="shared" ref="D18:D23" si="0">C18*8</f>
        <v>112</v>
      </c>
      <c r="K18" s="3" t="s">
        <v>44</v>
      </c>
      <c r="L18" s="3" t="s">
        <v>11</v>
      </c>
    </row>
    <row r="19" spans="2:12" x14ac:dyDescent="0.25">
      <c r="B19" s="3" t="s">
        <v>59</v>
      </c>
      <c r="C19" s="3">
        <v>7</v>
      </c>
      <c r="D19" s="3">
        <f t="shared" si="0"/>
        <v>56</v>
      </c>
      <c r="K19" s="3" t="s">
        <v>45</v>
      </c>
      <c r="L19" s="3" t="s">
        <v>12</v>
      </c>
    </row>
    <row r="20" spans="2:12" x14ac:dyDescent="0.25">
      <c r="B20" s="3" t="s">
        <v>60</v>
      </c>
      <c r="C20" s="3">
        <v>77</v>
      </c>
      <c r="D20" s="3">
        <f t="shared" si="0"/>
        <v>616</v>
      </c>
      <c r="K20" s="3" t="s">
        <v>46</v>
      </c>
      <c r="L20" s="3" t="s">
        <v>64</v>
      </c>
    </row>
    <row r="21" spans="2:12" x14ac:dyDescent="0.25">
      <c r="B21" s="3" t="s">
        <v>61</v>
      </c>
      <c r="C21" s="3">
        <v>14</v>
      </c>
      <c r="D21" s="3">
        <f t="shared" si="0"/>
        <v>112</v>
      </c>
      <c r="K21" s="3" t="s">
        <v>47</v>
      </c>
      <c r="L21" s="3" t="s">
        <v>68</v>
      </c>
    </row>
    <row r="22" spans="2:12" x14ac:dyDescent="0.25">
      <c r="B22" s="3" t="s">
        <v>62</v>
      </c>
      <c r="C22" s="3">
        <v>7</v>
      </c>
      <c r="D22" s="3">
        <f t="shared" si="0"/>
        <v>56</v>
      </c>
      <c r="K22" s="3" t="s">
        <v>48</v>
      </c>
      <c r="L22" s="3" t="s">
        <v>6</v>
      </c>
    </row>
    <row r="23" spans="2:12" x14ac:dyDescent="0.25">
      <c r="B23" s="3" t="s">
        <v>63</v>
      </c>
      <c r="C23" s="3">
        <v>14</v>
      </c>
      <c r="D23" s="3">
        <f t="shared" si="0"/>
        <v>112</v>
      </c>
      <c r="K23" s="3" t="s">
        <v>49</v>
      </c>
      <c r="L23" s="3" t="s">
        <v>29</v>
      </c>
    </row>
    <row r="24" spans="2:12" x14ac:dyDescent="0.25">
      <c r="K24" s="3" t="s">
        <v>50</v>
      </c>
      <c r="L24" s="3" t="s">
        <v>6</v>
      </c>
    </row>
    <row r="25" spans="2:12" ht="15.6" x14ac:dyDescent="0.3">
      <c r="B25" s="9" t="s">
        <v>51</v>
      </c>
      <c r="C25" s="7"/>
      <c r="D25" s="3">
        <f>SUM(D17,D18,D19,D20,D21,D22,D23)</f>
        <v>1232</v>
      </c>
    </row>
    <row r="27" spans="2:12" x14ac:dyDescent="0.25">
      <c r="B27" s="5" t="s">
        <v>21</v>
      </c>
      <c r="C27" s="5" t="s">
        <v>23</v>
      </c>
    </row>
    <row r="28" spans="2:12" ht="27.6" x14ac:dyDescent="0.25">
      <c r="B28" s="3" t="s">
        <v>11</v>
      </c>
      <c r="C28" s="10" t="s">
        <v>69</v>
      </c>
    </row>
    <row r="31" spans="2:12" x14ac:dyDescent="0.25">
      <c r="B31" s="5" t="s">
        <v>24</v>
      </c>
      <c r="C31" s="5" t="s">
        <v>25</v>
      </c>
    </row>
    <row r="32" spans="2:12" ht="179.4" x14ac:dyDescent="0.25">
      <c r="B32" s="10" t="s">
        <v>70</v>
      </c>
      <c r="C32" s="10" t="s">
        <v>71</v>
      </c>
    </row>
  </sheetData>
  <mergeCells count="4">
    <mergeCell ref="B1:F1"/>
    <mergeCell ref="B14:D15"/>
    <mergeCell ref="K1:L1"/>
    <mergeCell ref="B25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ifraim</dc:creator>
  <cp:lastModifiedBy>ibm</cp:lastModifiedBy>
  <dcterms:created xsi:type="dcterms:W3CDTF">2026-07-03T11:03:22Z</dcterms:created>
  <dcterms:modified xsi:type="dcterms:W3CDTF">2026-07-04T07:00:51Z</dcterms:modified>
</cp:coreProperties>
</file>