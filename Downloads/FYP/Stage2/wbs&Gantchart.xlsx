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A 6 Semester\Software Project Management Lab\project stage 2\"/>
    </mc:Choice>
  </mc:AlternateContent>
  <xr:revisionPtr revIDLastSave="0" documentId="8_{CED19175-05E2-4395-804E-AA2A680DFC1E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3" i="1" l="1"/>
  <c r="M1" i="1"/>
  <c r="CS1" i="1"/>
  <c r="CL1" i="1"/>
  <c r="CE1" i="1"/>
  <c r="BX1" i="1"/>
  <c r="BQ1" i="1"/>
  <c r="BJ1" i="1"/>
  <c r="BC1" i="1"/>
  <c r="AV1" i="1"/>
  <c r="AO1" i="1"/>
  <c r="AH1" i="1"/>
  <c r="AA1" i="1"/>
  <c r="T1" i="1"/>
  <c r="N53" i="1"/>
  <c r="N52" i="1"/>
  <c r="I52" i="1"/>
  <c r="N51" i="1"/>
  <c r="N50" i="1"/>
  <c r="I50" i="1"/>
  <c r="N48" i="1"/>
  <c r="N47" i="1"/>
  <c r="I47" i="1"/>
  <c r="N46" i="1"/>
  <c r="N45" i="1"/>
  <c r="I45" i="1"/>
  <c r="N43" i="1"/>
  <c r="N42" i="1"/>
  <c r="I42" i="1"/>
  <c r="N41" i="1"/>
  <c r="N40" i="1"/>
  <c r="I40" i="1"/>
  <c r="N38" i="1"/>
  <c r="N37" i="1"/>
  <c r="I37" i="1"/>
  <c r="N36" i="1"/>
  <c r="N35" i="1"/>
  <c r="I35" i="1"/>
  <c r="N34" i="1"/>
  <c r="N33" i="1"/>
  <c r="I33" i="1"/>
  <c r="N32" i="1"/>
  <c r="N31" i="1"/>
  <c r="I31" i="1"/>
  <c r="N30" i="1"/>
  <c r="N29" i="1"/>
  <c r="I29" i="1"/>
  <c r="N28" i="1"/>
  <c r="N27" i="1"/>
  <c r="I27" i="1"/>
  <c r="N26" i="1"/>
  <c r="N25" i="1"/>
  <c r="I25" i="1"/>
  <c r="N23" i="1"/>
  <c r="N22" i="1"/>
  <c r="I22" i="1"/>
  <c r="N21" i="1"/>
  <c r="N20" i="1"/>
  <c r="I20" i="1"/>
  <c r="N18" i="1"/>
  <c r="N17" i="1"/>
  <c r="I17" i="1"/>
  <c r="N16" i="1"/>
  <c r="N15" i="1"/>
  <c r="I15" i="1"/>
  <c r="N14" i="1"/>
  <c r="N13" i="1"/>
  <c r="I13" i="1"/>
  <c r="N11" i="1"/>
  <c r="N10" i="1"/>
  <c r="I10" i="1"/>
  <c r="N9" i="1"/>
  <c r="N8" i="1"/>
  <c r="I8" i="1"/>
  <c r="N7" i="1"/>
  <c r="N6" i="1"/>
  <c r="I6" i="1"/>
  <c r="O4" i="1"/>
  <c r="N3" i="1"/>
  <c r="M2" i="1"/>
  <c r="O52" i="1" l="1"/>
  <c r="O51" i="1"/>
  <c r="O53" i="1"/>
  <c r="O50" i="1"/>
  <c r="O48" i="1"/>
  <c r="O47" i="1"/>
  <c r="O40" i="1"/>
  <c r="O38" i="1"/>
  <c r="O45" i="1"/>
  <c r="O42" i="1"/>
  <c r="O41" i="1"/>
  <c r="O43" i="1"/>
  <c r="O31" i="1"/>
  <c r="O30" i="1"/>
  <c r="O46" i="1"/>
  <c r="O33" i="1"/>
  <c r="O32" i="1"/>
  <c r="O27" i="1"/>
  <c r="O20" i="1"/>
  <c r="O18" i="1"/>
  <c r="O37" i="1"/>
  <c r="O36" i="1"/>
  <c r="O29" i="1"/>
  <c r="O28" i="1"/>
  <c r="O26" i="1"/>
  <c r="O22" i="1"/>
  <c r="O21" i="1"/>
  <c r="O34" i="1"/>
  <c r="O23" i="1"/>
  <c r="O16" i="1"/>
  <c r="O8" i="1"/>
  <c r="O7" i="1"/>
  <c r="O10" i="1"/>
  <c r="O9" i="1"/>
  <c r="O25" i="1"/>
  <c r="O3" i="1"/>
  <c r="O14" i="1"/>
  <c r="O13" i="1"/>
  <c r="O15" i="1"/>
  <c r="O6" i="1"/>
  <c r="O35" i="1"/>
  <c r="P4" i="1"/>
  <c r="O11" i="1"/>
  <c r="O17" i="1"/>
  <c r="P53" i="1" l="1"/>
  <c r="P51" i="1"/>
  <c r="P52" i="1"/>
  <c r="P48" i="1"/>
  <c r="P47" i="1"/>
  <c r="P45" i="1"/>
  <c r="P42" i="1"/>
  <c r="P41" i="1"/>
  <c r="P46" i="1"/>
  <c r="P50" i="1"/>
  <c r="P38" i="1"/>
  <c r="P33" i="1"/>
  <c r="P32" i="1"/>
  <c r="P40" i="1"/>
  <c r="P35" i="1"/>
  <c r="P34" i="1"/>
  <c r="P27" i="1"/>
  <c r="P26" i="1"/>
  <c r="P37" i="1"/>
  <c r="P36" i="1"/>
  <c r="P29" i="1"/>
  <c r="P28" i="1"/>
  <c r="P22" i="1"/>
  <c r="P21" i="1"/>
  <c r="P25" i="1"/>
  <c r="P23" i="1"/>
  <c r="P30" i="1"/>
  <c r="P18" i="1"/>
  <c r="P10" i="1"/>
  <c r="P9" i="1"/>
  <c r="P3" i="1"/>
  <c r="P15" i="1"/>
  <c r="P20" i="1"/>
  <c r="P13" i="1"/>
  <c r="P11" i="1"/>
  <c r="Q4" i="1"/>
  <c r="P43" i="1"/>
  <c r="P17" i="1"/>
  <c r="P7" i="1"/>
  <c r="P31" i="1"/>
  <c r="P16" i="1"/>
  <c r="P8" i="1"/>
  <c r="P14" i="1"/>
  <c r="P6" i="1"/>
  <c r="Q52" i="1" l="1"/>
  <c r="Q51" i="1"/>
  <c r="Q45" i="1"/>
  <c r="Q43" i="1"/>
  <c r="Q53" i="1"/>
  <c r="Q46" i="1"/>
  <c r="Q48" i="1"/>
  <c r="Q40" i="1"/>
  <c r="Q35" i="1"/>
  <c r="Q34" i="1"/>
  <c r="Q42" i="1"/>
  <c r="Q37" i="1"/>
  <c r="Q36" i="1"/>
  <c r="Q29" i="1"/>
  <c r="Q28" i="1"/>
  <c r="Q50" i="1"/>
  <c r="Q38" i="1"/>
  <c r="Q26" i="1"/>
  <c r="Q25" i="1"/>
  <c r="Q23" i="1"/>
  <c r="Q47" i="1"/>
  <c r="Q41" i="1"/>
  <c r="Q32" i="1"/>
  <c r="Q30" i="1"/>
  <c r="Q17" i="1"/>
  <c r="Q20" i="1"/>
  <c r="Q13" i="1"/>
  <c r="Q11" i="1"/>
  <c r="R4" i="1"/>
  <c r="Q6" i="1"/>
  <c r="Q31" i="1"/>
  <c r="Q22" i="1"/>
  <c r="Q15" i="1"/>
  <c r="Q14" i="1"/>
  <c r="Q16" i="1"/>
  <c r="Q8" i="1"/>
  <c r="Q33" i="1"/>
  <c r="Q21" i="1"/>
  <c r="Q27" i="1"/>
  <c r="Q18" i="1"/>
  <c r="Q7" i="1"/>
  <c r="Q10" i="1"/>
  <c r="Q9" i="1"/>
  <c r="Q3" i="1"/>
  <c r="R52" i="1" l="1"/>
  <c r="R53" i="1"/>
  <c r="R47" i="1"/>
  <c r="R46" i="1"/>
  <c r="R51" i="1"/>
  <c r="R50" i="1"/>
  <c r="R43" i="1"/>
  <c r="R40" i="1"/>
  <c r="R38" i="1"/>
  <c r="R45" i="1"/>
  <c r="R42" i="1"/>
  <c r="R37" i="1"/>
  <c r="R36" i="1"/>
  <c r="R29" i="1"/>
  <c r="R28" i="1"/>
  <c r="R31" i="1"/>
  <c r="R30" i="1"/>
  <c r="R41" i="1"/>
  <c r="R32" i="1"/>
  <c r="R17" i="1"/>
  <c r="R34" i="1"/>
  <c r="R20" i="1"/>
  <c r="R18" i="1"/>
  <c r="R25" i="1"/>
  <c r="R22" i="1"/>
  <c r="R15" i="1"/>
  <c r="R14" i="1"/>
  <c r="R6" i="1"/>
  <c r="R8" i="1"/>
  <c r="R7" i="1"/>
  <c r="R27" i="1"/>
  <c r="R26" i="1"/>
  <c r="R21" i="1"/>
  <c r="R48" i="1"/>
  <c r="R16" i="1"/>
  <c r="R35" i="1"/>
  <c r="R33" i="1"/>
  <c r="R13" i="1"/>
  <c r="R10" i="1"/>
  <c r="R9" i="1"/>
  <c r="R3" i="1"/>
  <c r="R23" i="1"/>
  <c r="S4" i="1"/>
  <c r="R11" i="1"/>
  <c r="S52" i="1" l="1"/>
  <c r="S51" i="1"/>
  <c r="S53" i="1"/>
  <c r="S50" i="1"/>
  <c r="S48" i="1"/>
  <c r="S46" i="1"/>
  <c r="S43" i="1"/>
  <c r="S40" i="1"/>
  <c r="S38" i="1"/>
  <c r="S47" i="1"/>
  <c r="S42" i="1"/>
  <c r="S41" i="1"/>
  <c r="S31" i="1"/>
  <c r="S30" i="1"/>
  <c r="S33" i="1"/>
  <c r="S32" i="1"/>
  <c r="S34" i="1"/>
  <c r="S20" i="1"/>
  <c r="S18" i="1"/>
  <c r="S35" i="1"/>
  <c r="S27" i="1"/>
  <c r="S22" i="1"/>
  <c r="S21" i="1"/>
  <c r="S16" i="1"/>
  <c r="S8" i="1"/>
  <c r="S7" i="1"/>
  <c r="S9" i="1"/>
  <c r="S3" i="1"/>
  <c r="S23" i="1"/>
  <c r="S26" i="1"/>
  <c r="S17" i="1"/>
  <c r="S10" i="1"/>
  <c r="S37" i="1"/>
  <c r="S36" i="1"/>
  <c r="S29" i="1"/>
  <c r="S28" i="1"/>
  <c r="S25" i="1"/>
  <c r="S15" i="1"/>
  <c r="T4" i="1"/>
  <c r="S13" i="1"/>
  <c r="S14" i="1"/>
  <c r="S6" i="1"/>
  <c r="S45" i="1"/>
  <c r="S11" i="1"/>
  <c r="T53" i="1" l="1"/>
  <c r="T52" i="1"/>
  <c r="T51" i="1"/>
  <c r="T50" i="1"/>
  <c r="T48" i="1"/>
  <c r="T47" i="1"/>
  <c r="T46" i="1"/>
  <c r="T42" i="1"/>
  <c r="T41" i="1"/>
  <c r="T45" i="1"/>
  <c r="T33" i="1"/>
  <c r="T32" i="1"/>
  <c r="T35" i="1"/>
  <c r="T34" i="1"/>
  <c r="T27" i="1"/>
  <c r="T26" i="1"/>
  <c r="T40" i="1"/>
  <c r="T30" i="1"/>
  <c r="T22" i="1"/>
  <c r="T21" i="1"/>
  <c r="T43" i="1"/>
  <c r="T31" i="1"/>
  <c r="T25" i="1"/>
  <c r="T23" i="1"/>
  <c r="T38" i="1"/>
  <c r="T17" i="1"/>
  <c r="T10" i="1"/>
  <c r="T9" i="1"/>
  <c r="T3" i="1"/>
  <c r="U4" i="1"/>
  <c r="T36" i="1"/>
  <c r="T29" i="1"/>
  <c r="T15" i="1"/>
  <c r="T14" i="1"/>
  <c r="T13" i="1"/>
  <c r="T11" i="1"/>
  <c r="T37" i="1"/>
  <c r="T28" i="1"/>
  <c r="T18" i="1"/>
  <c r="T16" i="1"/>
  <c r="T6" i="1"/>
  <c r="T20" i="1"/>
  <c r="T7" i="1"/>
  <c r="T8" i="1"/>
  <c r="U52" i="1" l="1"/>
  <c r="U51" i="1"/>
  <c r="U53" i="1"/>
  <c r="U45" i="1"/>
  <c r="U43" i="1"/>
  <c r="U48" i="1"/>
  <c r="U47" i="1"/>
  <c r="U50" i="1"/>
  <c r="U46" i="1"/>
  <c r="U35" i="1"/>
  <c r="U34" i="1"/>
  <c r="U27" i="1"/>
  <c r="U41" i="1"/>
  <c r="U38" i="1"/>
  <c r="U37" i="1"/>
  <c r="U36" i="1"/>
  <c r="U29" i="1"/>
  <c r="U28" i="1"/>
  <c r="U31" i="1"/>
  <c r="U25" i="1"/>
  <c r="U23" i="1"/>
  <c r="U42" i="1"/>
  <c r="U33" i="1"/>
  <c r="U26" i="1"/>
  <c r="U17" i="1"/>
  <c r="U13" i="1"/>
  <c r="U11" i="1"/>
  <c r="V4" i="1"/>
  <c r="U20" i="1"/>
  <c r="U16" i="1"/>
  <c r="U21" i="1"/>
  <c r="U18" i="1"/>
  <c r="U15" i="1"/>
  <c r="U14" i="1"/>
  <c r="U6" i="1"/>
  <c r="U40" i="1"/>
  <c r="U32" i="1"/>
  <c r="U8" i="1"/>
  <c r="U30" i="1"/>
  <c r="U22" i="1"/>
  <c r="U9" i="1"/>
  <c r="U7" i="1"/>
  <c r="U3" i="1"/>
  <c r="U10" i="1"/>
  <c r="V52" i="1" l="1"/>
  <c r="V53" i="1"/>
  <c r="V47" i="1"/>
  <c r="V46" i="1"/>
  <c r="V51" i="1"/>
  <c r="V50" i="1"/>
  <c r="V45" i="1"/>
  <c r="V48" i="1"/>
  <c r="V40" i="1"/>
  <c r="V38" i="1"/>
  <c r="V41" i="1"/>
  <c r="V37" i="1"/>
  <c r="V36" i="1"/>
  <c r="V29" i="1"/>
  <c r="V28" i="1"/>
  <c r="V43" i="1"/>
  <c r="V31" i="1"/>
  <c r="V30" i="1"/>
  <c r="V42" i="1"/>
  <c r="V35" i="1"/>
  <c r="V33" i="1"/>
  <c r="V27" i="1"/>
  <c r="V26" i="1"/>
  <c r="V17" i="1"/>
  <c r="V20" i="1"/>
  <c r="V18" i="1"/>
  <c r="V21" i="1"/>
  <c r="V15" i="1"/>
  <c r="V14" i="1"/>
  <c r="V6" i="1"/>
  <c r="V7" i="1"/>
  <c r="V25" i="1"/>
  <c r="V22" i="1"/>
  <c r="V23" i="1"/>
  <c r="V16" i="1"/>
  <c r="V8" i="1"/>
  <c r="V32" i="1"/>
  <c r="V9" i="1"/>
  <c r="V13" i="1"/>
  <c r="V34" i="1"/>
  <c r="W4" i="1"/>
  <c r="V11" i="1"/>
  <c r="V10" i="1"/>
  <c r="W52" i="1" l="1"/>
  <c r="W51" i="1"/>
  <c r="W53" i="1"/>
  <c r="W50" i="1"/>
  <c r="W48" i="1"/>
  <c r="W46" i="1"/>
  <c r="W47" i="1"/>
  <c r="W40" i="1"/>
  <c r="W38" i="1"/>
  <c r="W43" i="1"/>
  <c r="W42" i="1"/>
  <c r="W41" i="1"/>
  <c r="W31" i="1"/>
  <c r="W30" i="1"/>
  <c r="W33" i="1"/>
  <c r="W32" i="1"/>
  <c r="W20" i="1"/>
  <c r="W18" i="1"/>
  <c r="W37" i="1"/>
  <c r="W36" i="1"/>
  <c r="W29" i="1"/>
  <c r="W28" i="1"/>
  <c r="W22" i="1"/>
  <c r="W21" i="1"/>
  <c r="W26" i="1"/>
  <c r="W23" i="1"/>
  <c r="W16" i="1"/>
  <c r="W8" i="1"/>
  <c r="W7" i="1"/>
  <c r="W10" i="1"/>
  <c r="W9" i="1"/>
  <c r="W34" i="1"/>
  <c r="W35" i="1"/>
  <c r="W27" i="1"/>
  <c r="W25" i="1"/>
  <c r="W3" i="1"/>
  <c r="W45" i="1"/>
  <c r="W14" i="1"/>
  <c r="W11" i="1"/>
  <c r="W17" i="1"/>
  <c r="W15" i="1"/>
  <c r="W13" i="1"/>
  <c r="X4" i="1"/>
  <c r="W6" i="1"/>
  <c r="X53" i="1" l="1"/>
  <c r="X51" i="1"/>
  <c r="X46" i="1"/>
  <c r="X52" i="1"/>
  <c r="X50" i="1"/>
  <c r="X48" i="1"/>
  <c r="X43" i="1"/>
  <c r="X42" i="1"/>
  <c r="X41" i="1"/>
  <c r="X38" i="1"/>
  <c r="X33" i="1"/>
  <c r="X32" i="1"/>
  <c r="X47" i="1"/>
  <c r="X45" i="1"/>
  <c r="X40" i="1"/>
  <c r="X35" i="1"/>
  <c r="X34" i="1"/>
  <c r="X27" i="1"/>
  <c r="X26" i="1"/>
  <c r="X37" i="1"/>
  <c r="X36" i="1"/>
  <c r="X29" i="1"/>
  <c r="X28" i="1"/>
  <c r="X22" i="1"/>
  <c r="X21" i="1"/>
  <c r="X25" i="1"/>
  <c r="X23" i="1"/>
  <c r="X18" i="1"/>
  <c r="X10" i="1"/>
  <c r="X9" i="1"/>
  <c r="X3" i="1"/>
  <c r="Y4" i="1"/>
  <c r="X30" i="1"/>
  <c r="X17" i="1"/>
  <c r="X14" i="1"/>
  <c r="X31" i="1"/>
  <c r="X20" i="1"/>
  <c r="X13" i="1"/>
  <c r="X11" i="1"/>
  <c r="X15" i="1"/>
  <c r="X7" i="1"/>
  <c r="X16" i="1"/>
  <c r="X8" i="1"/>
  <c r="X6" i="1"/>
  <c r="Y52" i="1" l="1"/>
  <c r="Y51" i="1"/>
  <c r="Y45" i="1"/>
  <c r="Y43" i="1"/>
  <c r="Y50" i="1"/>
  <c r="Y53" i="1"/>
  <c r="Y48" i="1"/>
  <c r="Y47" i="1"/>
  <c r="Y40" i="1"/>
  <c r="Y35" i="1"/>
  <c r="Y34" i="1"/>
  <c r="Y27" i="1"/>
  <c r="Y42" i="1"/>
  <c r="Y37" i="1"/>
  <c r="Y36" i="1"/>
  <c r="Y29" i="1"/>
  <c r="Y28" i="1"/>
  <c r="Y25" i="1"/>
  <c r="Y23" i="1"/>
  <c r="Y32" i="1"/>
  <c r="Y30" i="1"/>
  <c r="Y17" i="1"/>
  <c r="Y46" i="1"/>
  <c r="Y31" i="1"/>
  <c r="Y20" i="1"/>
  <c r="Y13" i="1"/>
  <c r="Y11" i="1"/>
  <c r="Z4" i="1"/>
  <c r="Y6" i="1"/>
  <c r="Y16" i="1"/>
  <c r="Y33" i="1"/>
  <c r="Y22" i="1"/>
  <c r="Y15" i="1"/>
  <c r="Y14" i="1"/>
  <c r="Y8" i="1"/>
  <c r="Y18" i="1"/>
  <c r="Y38" i="1"/>
  <c r="Y9" i="1"/>
  <c r="Y3" i="1"/>
  <c r="Y26" i="1"/>
  <c r="Y21" i="1"/>
  <c r="Y10" i="1"/>
  <c r="Y41" i="1"/>
  <c r="Y7" i="1"/>
  <c r="Z52" i="1" l="1"/>
  <c r="Z53" i="1"/>
  <c r="Z47" i="1"/>
  <c r="Z46" i="1"/>
  <c r="Z48" i="1"/>
  <c r="Z51" i="1"/>
  <c r="Z45" i="1"/>
  <c r="Z40" i="1"/>
  <c r="Z38" i="1"/>
  <c r="Z43" i="1"/>
  <c r="Z42" i="1"/>
  <c r="Z37" i="1"/>
  <c r="Z36" i="1"/>
  <c r="Z29" i="1"/>
  <c r="Z28" i="1"/>
  <c r="Z31" i="1"/>
  <c r="Z30" i="1"/>
  <c r="Z32" i="1"/>
  <c r="Z17" i="1"/>
  <c r="Z34" i="1"/>
  <c r="Z26" i="1"/>
  <c r="Z20" i="1"/>
  <c r="Z18" i="1"/>
  <c r="Z35" i="1"/>
  <c r="Z33" i="1"/>
  <c r="Z27" i="1"/>
  <c r="Z25" i="1"/>
  <c r="Z22" i="1"/>
  <c r="Z15" i="1"/>
  <c r="Z14" i="1"/>
  <c r="Z6" i="1"/>
  <c r="Z8" i="1"/>
  <c r="Z7" i="1"/>
  <c r="Z41" i="1"/>
  <c r="Z21" i="1"/>
  <c r="Z16" i="1"/>
  <c r="Z50" i="1"/>
  <c r="Z23" i="1"/>
  <c r="Z13" i="1"/>
  <c r="Z10" i="1"/>
  <c r="Z11" i="1"/>
  <c r="AA4" i="1"/>
  <c r="Z9" i="1"/>
  <c r="Z3" i="1"/>
  <c r="AA52" i="1" l="1"/>
  <c r="AA51" i="1"/>
  <c r="AA53" i="1"/>
  <c r="AA50" i="1"/>
  <c r="AA48" i="1"/>
  <c r="AA47" i="1"/>
  <c r="AA45" i="1"/>
  <c r="AA40" i="1"/>
  <c r="AA38" i="1"/>
  <c r="AA46" i="1"/>
  <c r="AA42" i="1"/>
  <c r="AA41" i="1"/>
  <c r="AA31" i="1"/>
  <c r="AA30" i="1"/>
  <c r="AA33" i="1"/>
  <c r="AA32" i="1"/>
  <c r="AA43" i="1"/>
  <c r="AA34" i="1"/>
  <c r="AA26" i="1"/>
  <c r="AA20" i="1"/>
  <c r="AA18" i="1"/>
  <c r="AA35" i="1"/>
  <c r="AA27" i="1"/>
  <c r="AA22" i="1"/>
  <c r="AA21" i="1"/>
  <c r="AA16" i="1"/>
  <c r="AA8" i="1"/>
  <c r="AA7" i="1"/>
  <c r="AA3" i="1"/>
  <c r="AA37" i="1"/>
  <c r="AA36" i="1"/>
  <c r="AA29" i="1"/>
  <c r="AA28" i="1"/>
  <c r="AA17" i="1"/>
  <c r="AA10" i="1"/>
  <c r="AA9" i="1"/>
  <c r="AA23" i="1"/>
  <c r="AB4" i="1"/>
  <c r="AA11" i="1"/>
  <c r="AA14" i="1"/>
  <c r="AA6" i="1"/>
  <c r="AA15" i="1"/>
  <c r="AA25" i="1"/>
  <c r="AA13" i="1"/>
  <c r="AB53" i="1" l="1"/>
  <c r="AB52" i="1"/>
  <c r="AB46" i="1"/>
  <c r="AB51" i="1"/>
  <c r="AB42" i="1"/>
  <c r="AB41" i="1"/>
  <c r="AB43" i="1"/>
  <c r="AB47" i="1"/>
  <c r="AB45" i="1"/>
  <c r="AB33" i="1"/>
  <c r="AB32" i="1"/>
  <c r="AB50" i="1"/>
  <c r="AB35" i="1"/>
  <c r="AB34" i="1"/>
  <c r="AB27" i="1"/>
  <c r="AB26" i="1"/>
  <c r="AB30" i="1"/>
  <c r="AB22" i="1"/>
  <c r="AB21" i="1"/>
  <c r="AB38" i="1"/>
  <c r="AB31" i="1"/>
  <c r="AB25" i="1"/>
  <c r="AB23" i="1"/>
  <c r="AB48" i="1"/>
  <c r="AB37" i="1"/>
  <c r="AB36" i="1"/>
  <c r="AB29" i="1"/>
  <c r="AB28" i="1"/>
  <c r="AB17" i="1"/>
  <c r="AB10" i="1"/>
  <c r="AB9" i="1"/>
  <c r="AB3" i="1"/>
  <c r="AB40" i="1"/>
  <c r="AB18" i="1"/>
  <c r="AB15" i="1"/>
  <c r="AB13" i="1"/>
  <c r="AB11" i="1"/>
  <c r="AC4" i="1"/>
  <c r="AB14" i="1"/>
  <c r="AB6" i="1"/>
  <c r="AB8" i="1"/>
  <c r="AB20" i="1"/>
  <c r="AB16" i="1"/>
  <c r="AB7" i="1"/>
  <c r="AC52" i="1" l="1"/>
  <c r="AC51" i="1"/>
  <c r="AC45" i="1"/>
  <c r="AC43" i="1"/>
  <c r="AC53" i="1"/>
  <c r="AC46" i="1"/>
  <c r="AC50" i="1"/>
  <c r="AC47" i="1"/>
  <c r="AC35" i="1"/>
  <c r="AC34" i="1"/>
  <c r="AC27" i="1"/>
  <c r="AC48" i="1"/>
  <c r="AC41" i="1"/>
  <c r="AC38" i="1"/>
  <c r="AC37" i="1"/>
  <c r="AC36" i="1"/>
  <c r="AC29" i="1"/>
  <c r="AC28" i="1"/>
  <c r="AC31" i="1"/>
  <c r="AC25" i="1"/>
  <c r="AC23" i="1"/>
  <c r="AC40" i="1"/>
  <c r="AC33" i="1"/>
  <c r="AC17" i="1"/>
  <c r="AC13" i="1"/>
  <c r="AC11" i="1"/>
  <c r="AD4" i="1"/>
  <c r="AC6" i="1"/>
  <c r="AC32" i="1"/>
  <c r="AC30" i="1"/>
  <c r="AC21" i="1"/>
  <c r="AC18" i="1"/>
  <c r="AC15" i="1"/>
  <c r="AC14" i="1"/>
  <c r="AC26" i="1"/>
  <c r="AC20" i="1"/>
  <c r="AC16" i="1"/>
  <c r="AC22" i="1"/>
  <c r="AC42" i="1"/>
  <c r="AC9" i="1"/>
  <c r="AC7" i="1"/>
  <c r="AC3" i="1"/>
  <c r="AC8" i="1"/>
  <c r="AC10" i="1"/>
  <c r="AD52" i="1" l="1"/>
  <c r="AD53" i="1"/>
  <c r="AD47" i="1"/>
  <c r="AD46" i="1"/>
  <c r="AD51" i="1"/>
  <c r="AD50" i="1"/>
  <c r="AD48" i="1"/>
  <c r="AD43" i="1"/>
  <c r="AD37" i="1"/>
  <c r="AD40" i="1"/>
  <c r="AD38" i="1"/>
  <c r="AD41" i="1"/>
  <c r="AD36" i="1"/>
  <c r="AD29" i="1"/>
  <c r="AD28" i="1"/>
  <c r="AD31" i="1"/>
  <c r="AD30" i="1"/>
  <c r="AD35" i="1"/>
  <c r="AD33" i="1"/>
  <c r="AD27" i="1"/>
  <c r="AD17" i="1"/>
  <c r="AD45" i="1"/>
  <c r="AD20" i="1"/>
  <c r="AD18" i="1"/>
  <c r="AD32" i="1"/>
  <c r="AD21" i="1"/>
  <c r="AD15" i="1"/>
  <c r="AD14" i="1"/>
  <c r="AD6" i="1"/>
  <c r="AD25" i="1"/>
  <c r="AD22" i="1"/>
  <c r="AD34" i="1"/>
  <c r="AD26" i="1"/>
  <c r="AD23" i="1"/>
  <c r="AD16" i="1"/>
  <c r="AD8" i="1"/>
  <c r="AD7" i="1"/>
  <c r="AD42" i="1"/>
  <c r="AD9" i="1"/>
  <c r="AD3" i="1"/>
  <c r="AD10" i="1"/>
  <c r="AD11" i="1"/>
  <c r="AD13" i="1"/>
  <c r="AE4" i="1"/>
  <c r="AE52" i="1" l="1"/>
  <c r="AE51" i="1"/>
  <c r="AE53" i="1"/>
  <c r="AE50" i="1"/>
  <c r="AE48" i="1"/>
  <c r="AE47" i="1"/>
  <c r="AE46" i="1"/>
  <c r="AE40" i="1"/>
  <c r="AE38" i="1"/>
  <c r="AE45" i="1"/>
  <c r="AE42" i="1"/>
  <c r="AE41" i="1"/>
  <c r="AE37" i="1"/>
  <c r="AE31" i="1"/>
  <c r="AE30" i="1"/>
  <c r="AE33" i="1"/>
  <c r="AE32" i="1"/>
  <c r="AE20" i="1"/>
  <c r="AE18" i="1"/>
  <c r="AE36" i="1"/>
  <c r="AE29" i="1"/>
  <c r="AE28" i="1"/>
  <c r="AE26" i="1"/>
  <c r="AE22" i="1"/>
  <c r="AE21" i="1"/>
  <c r="AE34" i="1"/>
  <c r="AE23" i="1"/>
  <c r="AE16" i="1"/>
  <c r="AE8" i="1"/>
  <c r="AE7" i="1"/>
  <c r="AE10" i="1"/>
  <c r="AE9" i="1"/>
  <c r="AE3" i="1"/>
  <c r="AE43" i="1"/>
  <c r="AE25" i="1"/>
  <c r="AE11" i="1"/>
  <c r="AE35" i="1"/>
  <c r="AE14" i="1"/>
  <c r="AF4" i="1"/>
  <c r="AE6" i="1"/>
  <c r="AE15" i="1"/>
  <c r="AE13" i="1"/>
  <c r="AE27" i="1"/>
  <c r="AE17" i="1"/>
  <c r="AF53" i="1" l="1"/>
  <c r="AF51" i="1"/>
  <c r="AF52" i="1"/>
  <c r="AF48" i="1"/>
  <c r="AF47" i="1"/>
  <c r="AF45" i="1"/>
  <c r="AF42" i="1"/>
  <c r="AF41" i="1"/>
  <c r="AF50" i="1"/>
  <c r="AF38" i="1"/>
  <c r="AF33" i="1"/>
  <c r="AF32" i="1"/>
  <c r="AF43" i="1"/>
  <c r="AF40" i="1"/>
  <c r="AF35" i="1"/>
  <c r="AF34" i="1"/>
  <c r="AF27" i="1"/>
  <c r="AF26" i="1"/>
  <c r="AF36" i="1"/>
  <c r="AF29" i="1"/>
  <c r="AF28" i="1"/>
  <c r="AF22" i="1"/>
  <c r="AF21" i="1"/>
  <c r="AF37" i="1"/>
  <c r="AF25" i="1"/>
  <c r="AF23" i="1"/>
  <c r="AF30" i="1"/>
  <c r="AF18" i="1"/>
  <c r="AF10" i="1"/>
  <c r="AF9" i="1"/>
  <c r="AF3" i="1"/>
  <c r="AG4" i="1"/>
  <c r="AF17" i="1"/>
  <c r="AF15" i="1"/>
  <c r="AF14" i="1"/>
  <c r="AF20" i="1"/>
  <c r="AF13" i="1"/>
  <c r="AF11" i="1"/>
  <c r="AF31" i="1"/>
  <c r="AF7" i="1"/>
  <c r="AF6" i="1"/>
  <c r="AF46" i="1"/>
  <c r="AF16" i="1"/>
  <c r="AF8" i="1"/>
  <c r="AG52" i="1" l="1"/>
  <c r="AG51" i="1"/>
  <c r="AG45" i="1"/>
  <c r="AG43" i="1"/>
  <c r="AG53" i="1"/>
  <c r="AG46" i="1"/>
  <c r="AG50" i="1"/>
  <c r="AG47" i="1"/>
  <c r="AG48" i="1"/>
  <c r="AG40" i="1"/>
  <c r="AG35" i="1"/>
  <c r="AG34" i="1"/>
  <c r="AG27" i="1"/>
  <c r="AG42" i="1"/>
  <c r="AG36" i="1"/>
  <c r="AG29" i="1"/>
  <c r="AG28" i="1"/>
  <c r="AG38" i="1"/>
  <c r="AG37" i="1"/>
  <c r="AG26" i="1"/>
  <c r="AG25" i="1"/>
  <c r="AG23" i="1"/>
  <c r="AG41" i="1"/>
  <c r="AG32" i="1"/>
  <c r="AG30" i="1"/>
  <c r="AG17" i="1"/>
  <c r="AG20" i="1"/>
  <c r="AG13" i="1"/>
  <c r="AG11" i="1"/>
  <c r="AH4" i="1"/>
  <c r="AG6" i="1"/>
  <c r="AG31" i="1"/>
  <c r="AG16" i="1"/>
  <c r="AG22" i="1"/>
  <c r="AG15" i="1"/>
  <c r="AG14" i="1"/>
  <c r="AG21" i="1"/>
  <c r="AG8" i="1"/>
  <c r="AG7" i="1"/>
  <c r="AG33" i="1"/>
  <c r="AG18" i="1"/>
  <c r="AG10" i="1"/>
  <c r="AG9" i="1"/>
  <c r="AG3" i="1"/>
  <c r="AH52" i="1" l="1"/>
  <c r="AH53" i="1"/>
  <c r="AH47" i="1"/>
  <c r="AH46" i="1"/>
  <c r="AH51" i="1"/>
  <c r="AH50" i="1"/>
  <c r="AH48" i="1"/>
  <c r="AH37" i="1"/>
  <c r="AH43" i="1"/>
  <c r="AH40" i="1"/>
  <c r="AH38" i="1"/>
  <c r="AH42" i="1"/>
  <c r="AH36" i="1"/>
  <c r="AH29" i="1"/>
  <c r="AH28" i="1"/>
  <c r="AH31" i="1"/>
  <c r="AH30" i="1"/>
  <c r="AH45" i="1"/>
  <c r="AH41" i="1"/>
  <c r="AH32" i="1"/>
  <c r="AH17" i="1"/>
  <c r="AH34" i="1"/>
  <c r="AH20" i="1"/>
  <c r="AH18" i="1"/>
  <c r="AH26" i="1"/>
  <c r="AH25" i="1"/>
  <c r="AH22" i="1"/>
  <c r="AH15" i="1"/>
  <c r="AH14" i="1"/>
  <c r="AH6" i="1"/>
  <c r="AH8" i="1"/>
  <c r="AH7" i="1"/>
  <c r="AH35" i="1"/>
  <c r="AH33" i="1"/>
  <c r="AH27" i="1"/>
  <c r="AH21" i="1"/>
  <c r="AH16" i="1"/>
  <c r="AH13" i="1"/>
  <c r="AH10" i="1"/>
  <c r="AH3" i="1"/>
  <c r="AH23" i="1"/>
  <c r="AI4" i="1"/>
  <c r="AH9" i="1"/>
  <c r="AH11" i="1"/>
  <c r="AI52" i="1" l="1"/>
  <c r="AI51" i="1"/>
  <c r="AI53" i="1"/>
  <c r="AI50" i="1"/>
  <c r="AI48" i="1"/>
  <c r="AI46" i="1"/>
  <c r="AI43" i="1"/>
  <c r="AI40" i="1"/>
  <c r="AI38" i="1"/>
  <c r="AI42" i="1"/>
  <c r="AI41" i="1"/>
  <c r="AI31" i="1"/>
  <c r="AI30" i="1"/>
  <c r="AI45" i="1"/>
  <c r="AI37" i="1"/>
  <c r="AI33" i="1"/>
  <c r="AI32" i="1"/>
  <c r="AI47" i="1"/>
  <c r="AI34" i="1"/>
  <c r="AI20" i="1"/>
  <c r="AI18" i="1"/>
  <c r="AI35" i="1"/>
  <c r="AI27" i="1"/>
  <c r="AI22" i="1"/>
  <c r="AI21" i="1"/>
  <c r="AI16" i="1"/>
  <c r="AI8" i="1"/>
  <c r="AI7" i="1"/>
  <c r="AI9" i="1"/>
  <c r="AI3" i="1"/>
  <c r="AI23" i="1"/>
  <c r="AI17" i="1"/>
  <c r="AI10" i="1"/>
  <c r="AI26" i="1"/>
  <c r="AI15" i="1"/>
  <c r="AJ4" i="1"/>
  <c r="AI25" i="1"/>
  <c r="AI29" i="1"/>
  <c r="AI28" i="1"/>
  <c r="AI14" i="1"/>
  <c r="AI6" i="1"/>
  <c r="AI11" i="1"/>
  <c r="AI36" i="1"/>
  <c r="AI13" i="1"/>
  <c r="AJ53" i="1" l="1"/>
  <c r="AJ52" i="1"/>
  <c r="AJ51" i="1"/>
  <c r="AJ50" i="1"/>
  <c r="AJ48" i="1"/>
  <c r="AJ47" i="1"/>
  <c r="AJ42" i="1"/>
  <c r="AJ41" i="1"/>
  <c r="AJ45" i="1"/>
  <c r="AJ43" i="1"/>
  <c r="AJ37" i="1"/>
  <c r="AJ33" i="1"/>
  <c r="AJ32" i="1"/>
  <c r="AJ46" i="1"/>
  <c r="AJ35" i="1"/>
  <c r="AJ34" i="1"/>
  <c r="AJ27" i="1"/>
  <c r="AJ26" i="1"/>
  <c r="AJ40" i="1"/>
  <c r="AJ30" i="1"/>
  <c r="AJ22" i="1"/>
  <c r="AJ21" i="1"/>
  <c r="AJ31" i="1"/>
  <c r="AJ25" i="1"/>
  <c r="AJ23" i="1"/>
  <c r="AJ17" i="1"/>
  <c r="AJ10" i="1"/>
  <c r="AJ9" i="1"/>
  <c r="AJ3" i="1"/>
  <c r="AK4" i="1"/>
  <c r="AJ2" i="1"/>
  <c r="AJ38" i="1"/>
  <c r="AJ29" i="1"/>
  <c r="AJ28" i="1"/>
  <c r="AJ15" i="1"/>
  <c r="AJ13" i="1"/>
  <c r="AJ11" i="1"/>
  <c r="AJ36" i="1"/>
  <c r="AJ18" i="1"/>
  <c r="AJ14" i="1"/>
  <c r="AJ20" i="1"/>
  <c r="AJ16" i="1"/>
  <c r="AJ6" i="1"/>
  <c r="AJ7" i="1"/>
  <c r="AJ8" i="1"/>
  <c r="AK52" i="1" l="1"/>
  <c r="AK51" i="1"/>
  <c r="AK53" i="1"/>
  <c r="AK45" i="1"/>
  <c r="AK43" i="1"/>
  <c r="AK48" i="1"/>
  <c r="AK47" i="1"/>
  <c r="AK46" i="1"/>
  <c r="AK37" i="1"/>
  <c r="AK50" i="1"/>
  <c r="AK35" i="1"/>
  <c r="AK34" i="1"/>
  <c r="AK27" i="1"/>
  <c r="AK41" i="1"/>
  <c r="AK38" i="1"/>
  <c r="AK36" i="1"/>
  <c r="AK29" i="1"/>
  <c r="AK28" i="1"/>
  <c r="AK31" i="1"/>
  <c r="AK25" i="1"/>
  <c r="AK23" i="1"/>
  <c r="AK42" i="1"/>
  <c r="AK33" i="1"/>
  <c r="AK26" i="1"/>
  <c r="AK17" i="1"/>
  <c r="AK13" i="1"/>
  <c r="AK11" i="1"/>
  <c r="AL4" i="1"/>
  <c r="AK20" i="1"/>
  <c r="AK40" i="1"/>
  <c r="AK21" i="1"/>
  <c r="AK18" i="1"/>
  <c r="AK15" i="1"/>
  <c r="AK14" i="1"/>
  <c r="AK6" i="1"/>
  <c r="AK16" i="1"/>
  <c r="AK30" i="1"/>
  <c r="AK8" i="1"/>
  <c r="AK22" i="1"/>
  <c r="AK10" i="1"/>
  <c r="AK32" i="1"/>
  <c r="AK9" i="1"/>
  <c r="AK7" i="1"/>
  <c r="AK3" i="1"/>
  <c r="AL52" i="1" l="1"/>
  <c r="AL53" i="1"/>
  <c r="AL47" i="1"/>
  <c r="AL46" i="1"/>
  <c r="AL51" i="1"/>
  <c r="AL45" i="1"/>
  <c r="AL37" i="1"/>
  <c r="AL40" i="1"/>
  <c r="AL38" i="1"/>
  <c r="AL48" i="1"/>
  <c r="AL41" i="1"/>
  <c r="AL36" i="1"/>
  <c r="AL29" i="1"/>
  <c r="AL28" i="1"/>
  <c r="AL31" i="1"/>
  <c r="AL30" i="1"/>
  <c r="AL42" i="1"/>
  <c r="AL35" i="1"/>
  <c r="AL33" i="1"/>
  <c r="AL27" i="1"/>
  <c r="AL26" i="1"/>
  <c r="AL17" i="1"/>
  <c r="AL20" i="1"/>
  <c r="AL18" i="1"/>
  <c r="AL43" i="1"/>
  <c r="AL21" i="1"/>
  <c r="AL15" i="1"/>
  <c r="AL14" i="1"/>
  <c r="AL6" i="1"/>
  <c r="AL8" i="1"/>
  <c r="AL7" i="1"/>
  <c r="AL32" i="1"/>
  <c r="AL50" i="1"/>
  <c r="AL23" i="1"/>
  <c r="AL16" i="1"/>
  <c r="AL25" i="1"/>
  <c r="AL22" i="1"/>
  <c r="AL9" i="1"/>
  <c r="AL3" i="1"/>
  <c r="AL34" i="1"/>
  <c r="AL13" i="1"/>
  <c r="AM4" i="1"/>
  <c r="AL11" i="1"/>
  <c r="AL10" i="1"/>
  <c r="AM52" i="1" l="1"/>
  <c r="AM51" i="1"/>
  <c r="AM53" i="1"/>
  <c r="AM50" i="1"/>
  <c r="AM48" i="1"/>
  <c r="AM46" i="1"/>
  <c r="AM40" i="1"/>
  <c r="AM38" i="1"/>
  <c r="AM43" i="1"/>
  <c r="AM42" i="1"/>
  <c r="AM41" i="1"/>
  <c r="AM45" i="1"/>
  <c r="AM31" i="1"/>
  <c r="AM30" i="1"/>
  <c r="AM33" i="1"/>
  <c r="AM32" i="1"/>
  <c r="AM20" i="1"/>
  <c r="AM18" i="1"/>
  <c r="AM36" i="1"/>
  <c r="AM29" i="1"/>
  <c r="AM28" i="1"/>
  <c r="AM22" i="1"/>
  <c r="AM21" i="1"/>
  <c r="AM23" i="1"/>
  <c r="AM16" i="1"/>
  <c r="AM8" i="1"/>
  <c r="AM7" i="1"/>
  <c r="AM9" i="1"/>
  <c r="AM47" i="1"/>
  <c r="AM34" i="1"/>
  <c r="AM26" i="1"/>
  <c r="AM35" i="1"/>
  <c r="AM27" i="1"/>
  <c r="AM25" i="1"/>
  <c r="AM10" i="1"/>
  <c r="AM3" i="1"/>
  <c r="AM14" i="1"/>
  <c r="AM11" i="1"/>
  <c r="AM37" i="1"/>
  <c r="AM17" i="1"/>
  <c r="AM13" i="1"/>
  <c r="AN4" i="1"/>
  <c r="AM15" i="1"/>
  <c r="AM6" i="1"/>
  <c r="AN53" i="1" l="1"/>
  <c r="AN51" i="1"/>
  <c r="AN42" i="1"/>
  <c r="AN46" i="1"/>
  <c r="AN50" i="1"/>
  <c r="AN43" i="1"/>
  <c r="AN41" i="1"/>
  <c r="AN52" i="1"/>
  <c r="AN47" i="1"/>
  <c r="AN38" i="1"/>
  <c r="AN33" i="1"/>
  <c r="AN32" i="1"/>
  <c r="AN40" i="1"/>
  <c r="AN35" i="1"/>
  <c r="AN34" i="1"/>
  <c r="AN27" i="1"/>
  <c r="AN26" i="1"/>
  <c r="AN36" i="1"/>
  <c r="AN29" i="1"/>
  <c r="AN28" i="1"/>
  <c r="AN22" i="1"/>
  <c r="AN21" i="1"/>
  <c r="AN48" i="1"/>
  <c r="AN25" i="1"/>
  <c r="AN23" i="1"/>
  <c r="AN18" i="1"/>
  <c r="AN10" i="1"/>
  <c r="AN9" i="1"/>
  <c r="AN3" i="1"/>
  <c r="AN37" i="1"/>
  <c r="AN14" i="1"/>
  <c r="AN45" i="1"/>
  <c r="AN31" i="1"/>
  <c r="AN20" i="1"/>
  <c r="AN13" i="1"/>
  <c r="AN11" i="1"/>
  <c r="AO4" i="1"/>
  <c r="AN30" i="1"/>
  <c r="AN17" i="1"/>
  <c r="AN15" i="1"/>
  <c r="AN7" i="1"/>
  <c r="AN8" i="1"/>
  <c r="AN6" i="1"/>
  <c r="AN16" i="1"/>
  <c r="AO52" i="1" l="1"/>
  <c r="AO51" i="1"/>
  <c r="AO45" i="1"/>
  <c r="AO43" i="1"/>
  <c r="AO50" i="1"/>
  <c r="AO48" i="1"/>
  <c r="AO47" i="1"/>
  <c r="AO46" i="1"/>
  <c r="AO42" i="1"/>
  <c r="AO37" i="1"/>
  <c r="AO40" i="1"/>
  <c r="AO35" i="1"/>
  <c r="AO34" i="1"/>
  <c r="AO27" i="1"/>
  <c r="AO53" i="1"/>
  <c r="AO36" i="1"/>
  <c r="AO29" i="1"/>
  <c r="AO28" i="1"/>
  <c r="AO25" i="1"/>
  <c r="AO23" i="1"/>
  <c r="AO32" i="1"/>
  <c r="AO30" i="1"/>
  <c r="AO17" i="1"/>
  <c r="AO31" i="1"/>
  <c r="AO20" i="1"/>
  <c r="AO13" i="1"/>
  <c r="AO11" i="1"/>
  <c r="AP4" i="1"/>
  <c r="AO6" i="1"/>
  <c r="AO16" i="1"/>
  <c r="AO41" i="1"/>
  <c r="AO38" i="1"/>
  <c r="AO33" i="1"/>
  <c r="AO26" i="1"/>
  <c r="AO22" i="1"/>
  <c r="AO15" i="1"/>
  <c r="AO14" i="1"/>
  <c r="AO18" i="1"/>
  <c r="AO8" i="1"/>
  <c r="AO9" i="1"/>
  <c r="AO3" i="1"/>
  <c r="AO10" i="1"/>
  <c r="AO21" i="1"/>
  <c r="AO7" i="1"/>
  <c r="AP50" i="1" l="1"/>
  <c r="AP52" i="1"/>
  <c r="AP53" i="1"/>
  <c r="AP47" i="1"/>
  <c r="AP46" i="1"/>
  <c r="AP48" i="1"/>
  <c r="AP37" i="1"/>
  <c r="AP45" i="1"/>
  <c r="AP40" i="1"/>
  <c r="AP38" i="1"/>
  <c r="AP36" i="1"/>
  <c r="AP29" i="1"/>
  <c r="AP28" i="1"/>
  <c r="AP42" i="1"/>
  <c r="AP31" i="1"/>
  <c r="AP30" i="1"/>
  <c r="AP32" i="1"/>
  <c r="AP17" i="1"/>
  <c r="AP51" i="1"/>
  <c r="AP43" i="1"/>
  <c r="AP34" i="1"/>
  <c r="AP26" i="1"/>
  <c r="AP20" i="1"/>
  <c r="AP18" i="1"/>
  <c r="AP41" i="1"/>
  <c r="AP35" i="1"/>
  <c r="AP33" i="1"/>
  <c r="AP27" i="1"/>
  <c r="AP25" i="1"/>
  <c r="AP22" i="1"/>
  <c r="AP15" i="1"/>
  <c r="AP14" i="1"/>
  <c r="AP6" i="1"/>
  <c r="AP8" i="1"/>
  <c r="AP7" i="1"/>
  <c r="AP16" i="1"/>
  <c r="AP21" i="1"/>
  <c r="AP13" i="1"/>
  <c r="AP10" i="1"/>
  <c r="AP23" i="1"/>
  <c r="AP11" i="1"/>
  <c r="AQ4" i="1"/>
  <c r="AP9" i="1"/>
  <c r="AP3" i="1"/>
  <c r="AQ52" i="1" l="1"/>
  <c r="AQ51" i="1"/>
  <c r="AQ53" i="1"/>
  <c r="AQ48" i="1"/>
  <c r="AQ47" i="1"/>
  <c r="AQ45" i="1"/>
  <c r="AQ40" i="1"/>
  <c r="AQ38" i="1"/>
  <c r="AQ50" i="1"/>
  <c r="AQ41" i="1"/>
  <c r="AQ46" i="1"/>
  <c r="AQ42" i="1"/>
  <c r="AQ31" i="1"/>
  <c r="AQ30" i="1"/>
  <c r="AQ43" i="1"/>
  <c r="AQ37" i="1"/>
  <c r="AQ33" i="1"/>
  <c r="AQ32" i="1"/>
  <c r="AQ34" i="1"/>
  <c r="AQ26" i="1"/>
  <c r="AQ20" i="1"/>
  <c r="AQ18" i="1"/>
  <c r="AQ35" i="1"/>
  <c r="AQ27" i="1"/>
  <c r="AQ22" i="1"/>
  <c r="AQ21" i="1"/>
  <c r="AQ16" i="1"/>
  <c r="AQ8" i="1"/>
  <c r="AQ7" i="1"/>
  <c r="AQ9" i="1"/>
  <c r="AQ3" i="1"/>
  <c r="AQ23" i="1"/>
  <c r="AQ36" i="1"/>
  <c r="AQ29" i="1"/>
  <c r="AQ28" i="1"/>
  <c r="AQ17" i="1"/>
  <c r="AQ10" i="1"/>
  <c r="AR4" i="1"/>
  <c r="AQ11" i="1"/>
  <c r="AQ13" i="1"/>
  <c r="AQ25" i="1"/>
  <c r="AQ6" i="1"/>
  <c r="AQ15" i="1"/>
  <c r="AQ14" i="1"/>
  <c r="AR53" i="1" l="1"/>
  <c r="AR50" i="1"/>
  <c r="AR42" i="1"/>
  <c r="AR46" i="1"/>
  <c r="AR52" i="1"/>
  <c r="AR47" i="1"/>
  <c r="AR41" i="1"/>
  <c r="AR48" i="1"/>
  <c r="AR43" i="1"/>
  <c r="AR37" i="1"/>
  <c r="AR33" i="1"/>
  <c r="AR32" i="1"/>
  <c r="AR51" i="1"/>
  <c r="AR35" i="1"/>
  <c r="AR34" i="1"/>
  <c r="AR27" i="1"/>
  <c r="AR26" i="1"/>
  <c r="AR30" i="1"/>
  <c r="AR22" i="1"/>
  <c r="AR21" i="1"/>
  <c r="AR38" i="1"/>
  <c r="AR31" i="1"/>
  <c r="AR25" i="1"/>
  <c r="AR23" i="1"/>
  <c r="AR45" i="1"/>
  <c r="AR40" i="1"/>
  <c r="AR36" i="1"/>
  <c r="AR29" i="1"/>
  <c r="AR28" i="1"/>
  <c r="AR17" i="1"/>
  <c r="AR10" i="1"/>
  <c r="AR9" i="1"/>
  <c r="AR3" i="1"/>
  <c r="AS4" i="1"/>
  <c r="AR18" i="1"/>
  <c r="AR15" i="1"/>
  <c r="AR13" i="1"/>
  <c r="AR11" i="1"/>
  <c r="AR14" i="1"/>
  <c r="AR6" i="1"/>
  <c r="AR16" i="1"/>
  <c r="AR8" i="1"/>
  <c r="AR7" i="1"/>
  <c r="AR20" i="1"/>
  <c r="AS52" i="1" l="1"/>
  <c r="AS51" i="1"/>
  <c r="AS45" i="1"/>
  <c r="AS43" i="1"/>
  <c r="AS46" i="1"/>
  <c r="AS50" i="1"/>
  <c r="AS48" i="1"/>
  <c r="AS42" i="1"/>
  <c r="AS37" i="1"/>
  <c r="AS53" i="1"/>
  <c r="AS35" i="1"/>
  <c r="AS34" i="1"/>
  <c r="AS27" i="1"/>
  <c r="AS47" i="1"/>
  <c r="AS41" i="1"/>
  <c r="AS38" i="1"/>
  <c r="AS36" i="1"/>
  <c r="AS29" i="1"/>
  <c r="AS28" i="1"/>
  <c r="AS31" i="1"/>
  <c r="AS25" i="1"/>
  <c r="AS23" i="1"/>
  <c r="AS40" i="1"/>
  <c r="AS33" i="1"/>
  <c r="AS17" i="1"/>
  <c r="AS26" i="1"/>
  <c r="AS13" i="1"/>
  <c r="AS11" i="1"/>
  <c r="AT4" i="1"/>
  <c r="AS6" i="1"/>
  <c r="AS20" i="1"/>
  <c r="AS16" i="1"/>
  <c r="AS32" i="1"/>
  <c r="AS30" i="1"/>
  <c r="AS21" i="1"/>
  <c r="AS18" i="1"/>
  <c r="AS15" i="1"/>
  <c r="AS14" i="1"/>
  <c r="AS9" i="1"/>
  <c r="AS7" i="1"/>
  <c r="AS3" i="1"/>
  <c r="AS22" i="1"/>
  <c r="AS8" i="1"/>
  <c r="AS10" i="1"/>
  <c r="AT50" i="1" l="1"/>
  <c r="AT52" i="1"/>
  <c r="AT53" i="1"/>
  <c r="AT47" i="1"/>
  <c r="AT46" i="1"/>
  <c r="AT51" i="1"/>
  <c r="AT48" i="1"/>
  <c r="AT43" i="1"/>
  <c r="AT42" i="1"/>
  <c r="AT37" i="1"/>
  <c r="AT40" i="1"/>
  <c r="AT38" i="1"/>
  <c r="AT41" i="1"/>
  <c r="AT36" i="1"/>
  <c r="AT29" i="1"/>
  <c r="AT28" i="1"/>
  <c r="AT45" i="1"/>
  <c r="AT31" i="1"/>
  <c r="AT30" i="1"/>
  <c r="AT35" i="1"/>
  <c r="AT33" i="1"/>
  <c r="AT27" i="1"/>
  <c r="AT17" i="1"/>
  <c r="AT20" i="1"/>
  <c r="AT18" i="1"/>
  <c r="AT32" i="1"/>
  <c r="AT21" i="1"/>
  <c r="AT15" i="1"/>
  <c r="AT14" i="1"/>
  <c r="AT6" i="1"/>
  <c r="AT7" i="1"/>
  <c r="AT25" i="1"/>
  <c r="AT22" i="1"/>
  <c r="AT34" i="1"/>
  <c r="AT23" i="1"/>
  <c r="AT16" i="1"/>
  <c r="AT8" i="1"/>
  <c r="AT9" i="1"/>
  <c r="AT3" i="1"/>
  <c r="AT10" i="1"/>
  <c r="AT26" i="1"/>
  <c r="AT11" i="1"/>
  <c r="AT13" i="1"/>
  <c r="AU4" i="1"/>
  <c r="AU52" i="1" l="1"/>
  <c r="AU51" i="1"/>
  <c r="AU53" i="1"/>
  <c r="AU48" i="1"/>
  <c r="AU45" i="1"/>
  <c r="AU50" i="1"/>
  <c r="AU47" i="1"/>
  <c r="AU40" i="1"/>
  <c r="AU38" i="1"/>
  <c r="AU41" i="1"/>
  <c r="AU43" i="1"/>
  <c r="AU31" i="1"/>
  <c r="AU30" i="1"/>
  <c r="AU33" i="1"/>
  <c r="AU32" i="1"/>
  <c r="AU20" i="1"/>
  <c r="AU18" i="1"/>
  <c r="AU46" i="1"/>
  <c r="AU37" i="1"/>
  <c r="AU36" i="1"/>
  <c r="AU29" i="1"/>
  <c r="AU28" i="1"/>
  <c r="AU26" i="1"/>
  <c r="AU22" i="1"/>
  <c r="AU21" i="1"/>
  <c r="AU34" i="1"/>
  <c r="AU23" i="1"/>
  <c r="AU16" i="1"/>
  <c r="AU8" i="1"/>
  <c r="AU7" i="1"/>
  <c r="AU9" i="1"/>
  <c r="AU3" i="1"/>
  <c r="AU42" i="1"/>
  <c r="AU25" i="1"/>
  <c r="AU10" i="1"/>
  <c r="AU17" i="1"/>
  <c r="AU11" i="1"/>
  <c r="AU6" i="1"/>
  <c r="AU35" i="1"/>
  <c r="AU27" i="1"/>
  <c r="AU15" i="1"/>
  <c r="AU13" i="1"/>
  <c r="AU14" i="1"/>
  <c r="AV4" i="1"/>
  <c r="AV53" i="1" l="1"/>
  <c r="AV51" i="1"/>
  <c r="AV42" i="1"/>
  <c r="AV52" i="1"/>
  <c r="AV50" i="1"/>
  <c r="AV48" i="1"/>
  <c r="AV47" i="1"/>
  <c r="AV41" i="1"/>
  <c r="AV46" i="1"/>
  <c r="AV45" i="1"/>
  <c r="AV38" i="1"/>
  <c r="AV33" i="1"/>
  <c r="AV32" i="1"/>
  <c r="AV40" i="1"/>
  <c r="AV35" i="1"/>
  <c r="AV34" i="1"/>
  <c r="AV27" i="1"/>
  <c r="AV26" i="1"/>
  <c r="AV43" i="1"/>
  <c r="AV37" i="1"/>
  <c r="AV36" i="1"/>
  <c r="AV29" i="1"/>
  <c r="AV28" i="1"/>
  <c r="AV22" i="1"/>
  <c r="AV21" i="1"/>
  <c r="AV25" i="1"/>
  <c r="AV23" i="1"/>
  <c r="AV30" i="1"/>
  <c r="AV18" i="1"/>
  <c r="AV10" i="1"/>
  <c r="AV9" i="1"/>
  <c r="AV3" i="1"/>
  <c r="AW4" i="1"/>
  <c r="AV17" i="1"/>
  <c r="AV15" i="1"/>
  <c r="AV14" i="1"/>
  <c r="AV20" i="1"/>
  <c r="AV13" i="1"/>
  <c r="AV11" i="1"/>
  <c r="AV7" i="1"/>
  <c r="AV31" i="1"/>
  <c r="AV16" i="1"/>
  <c r="AV8" i="1"/>
  <c r="AV6" i="1"/>
  <c r="AW52" i="1" l="1"/>
  <c r="AW51" i="1"/>
  <c r="AW50" i="1"/>
  <c r="AW45" i="1"/>
  <c r="AW43" i="1"/>
  <c r="AW53" i="1"/>
  <c r="AW46" i="1"/>
  <c r="AW37" i="1"/>
  <c r="AW47" i="1"/>
  <c r="AW40" i="1"/>
  <c r="AW35" i="1"/>
  <c r="AW34" i="1"/>
  <c r="AW27" i="1"/>
  <c r="AW36" i="1"/>
  <c r="AW29" i="1"/>
  <c r="AW28" i="1"/>
  <c r="AW48" i="1"/>
  <c r="AW38" i="1"/>
  <c r="AW26" i="1"/>
  <c r="AW25" i="1"/>
  <c r="AW23" i="1"/>
  <c r="AW41" i="1"/>
  <c r="AW32" i="1"/>
  <c r="AW30" i="1"/>
  <c r="AW17" i="1"/>
  <c r="AW42" i="1"/>
  <c r="AW20" i="1"/>
  <c r="AW13" i="1"/>
  <c r="AW11" i="1"/>
  <c r="AX4" i="1"/>
  <c r="AW16" i="1"/>
  <c r="AW22" i="1"/>
  <c r="AW15" i="1"/>
  <c r="AW14" i="1"/>
  <c r="AW6" i="1"/>
  <c r="AW31" i="1"/>
  <c r="AW33" i="1"/>
  <c r="AW8" i="1"/>
  <c r="AW21" i="1"/>
  <c r="AW7" i="1"/>
  <c r="AW10" i="1"/>
  <c r="AW18" i="1"/>
  <c r="AW9" i="1"/>
  <c r="AW3" i="1"/>
  <c r="AX50" i="1" l="1"/>
  <c r="AX52" i="1"/>
  <c r="AX53" i="1"/>
  <c r="AX47" i="1"/>
  <c r="AX46" i="1"/>
  <c r="AX51" i="1"/>
  <c r="AX45" i="1"/>
  <c r="AX37" i="1"/>
  <c r="AX43" i="1"/>
  <c r="AX42" i="1"/>
  <c r="AX40" i="1"/>
  <c r="AX38" i="1"/>
  <c r="AX36" i="1"/>
  <c r="AX29" i="1"/>
  <c r="AX28" i="1"/>
  <c r="AX48" i="1"/>
  <c r="AX31" i="1"/>
  <c r="AX30" i="1"/>
  <c r="AX41" i="1"/>
  <c r="AX32" i="1"/>
  <c r="AX17" i="1"/>
  <c r="AX34" i="1"/>
  <c r="AX20" i="1"/>
  <c r="AX18" i="1"/>
  <c r="AX25" i="1"/>
  <c r="AX22" i="1"/>
  <c r="AX15" i="1"/>
  <c r="AX14" i="1"/>
  <c r="AX6" i="1"/>
  <c r="AX8" i="1"/>
  <c r="AX7" i="1"/>
  <c r="AX21" i="1"/>
  <c r="AX16" i="1"/>
  <c r="AX35" i="1"/>
  <c r="AX33" i="1"/>
  <c r="AX27" i="1"/>
  <c r="AX26" i="1"/>
  <c r="AX13" i="1"/>
  <c r="AX10" i="1"/>
  <c r="AX3" i="1"/>
  <c r="AX23" i="1"/>
  <c r="AY4" i="1"/>
  <c r="AX9" i="1"/>
  <c r="AX11" i="1"/>
  <c r="AY52" i="1" l="1"/>
  <c r="AY51" i="1"/>
  <c r="AY53" i="1"/>
  <c r="AY48" i="1"/>
  <c r="AY46" i="1"/>
  <c r="AY45" i="1"/>
  <c r="AY43" i="1"/>
  <c r="AY42" i="1"/>
  <c r="AY40" i="1"/>
  <c r="AY38" i="1"/>
  <c r="AY47" i="1"/>
  <c r="AY41" i="1"/>
  <c r="AY31" i="1"/>
  <c r="AY30" i="1"/>
  <c r="AY37" i="1"/>
  <c r="AY33" i="1"/>
  <c r="AY32" i="1"/>
  <c r="AY34" i="1"/>
  <c r="AY20" i="1"/>
  <c r="AY18" i="1"/>
  <c r="AY50" i="1"/>
  <c r="AY35" i="1"/>
  <c r="AY27" i="1"/>
  <c r="AY22" i="1"/>
  <c r="AY21" i="1"/>
  <c r="AY16" i="1"/>
  <c r="AY8" i="1"/>
  <c r="AY7" i="1"/>
  <c r="AY9" i="1"/>
  <c r="AY3" i="1"/>
  <c r="AY23" i="1"/>
  <c r="AY26" i="1"/>
  <c r="AY17" i="1"/>
  <c r="AY10" i="1"/>
  <c r="AY25" i="1"/>
  <c r="AY15" i="1"/>
  <c r="AZ4" i="1"/>
  <c r="AY36" i="1"/>
  <c r="AY28" i="1"/>
  <c r="AY11" i="1"/>
  <c r="AY14" i="1"/>
  <c r="AY6" i="1"/>
  <c r="AY29" i="1"/>
  <c r="AY13" i="1"/>
  <c r="AZ53" i="1" l="1"/>
  <c r="AZ52" i="1"/>
  <c r="AZ42" i="1"/>
  <c r="AZ51" i="1"/>
  <c r="AZ45" i="1"/>
  <c r="AZ48" i="1"/>
  <c r="AZ47" i="1"/>
  <c r="AZ46" i="1"/>
  <c r="AZ41" i="1"/>
  <c r="AZ37" i="1"/>
  <c r="AZ33" i="1"/>
  <c r="AZ32" i="1"/>
  <c r="AZ50" i="1"/>
  <c r="AZ35" i="1"/>
  <c r="AZ34" i="1"/>
  <c r="AZ27" i="1"/>
  <c r="AZ26" i="1"/>
  <c r="AZ40" i="1"/>
  <c r="AZ30" i="1"/>
  <c r="AZ22" i="1"/>
  <c r="AZ21" i="1"/>
  <c r="AZ31" i="1"/>
  <c r="AZ25" i="1"/>
  <c r="AZ23" i="1"/>
  <c r="AZ38" i="1"/>
  <c r="AZ17" i="1"/>
  <c r="AZ10" i="1"/>
  <c r="AZ9" i="1"/>
  <c r="AZ3" i="1"/>
  <c r="AZ36" i="1"/>
  <c r="AZ28" i="1"/>
  <c r="AZ18" i="1"/>
  <c r="AZ15" i="1"/>
  <c r="AZ13" i="1"/>
  <c r="AZ11" i="1"/>
  <c r="BA4" i="1"/>
  <c r="AZ29" i="1"/>
  <c r="AZ14" i="1"/>
  <c r="AZ16" i="1"/>
  <c r="AZ6" i="1"/>
  <c r="AZ43" i="1"/>
  <c r="AZ20" i="1"/>
  <c r="AZ7" i="1"/>
  <c r="AZ8" i="1"/>
  <c r="BA52" i="1" l="1"/>
  <c r="BA51" i="1"/>
  <c r="BA53" i="1"/>
  <c r="BA45" i="1"/>
  <c r="BA43" i="1"/>
  <c r="BA48" i="1"/>
  <c r="BA47" i="1"/>
  <c r="BA50" i="1"/>
  <c r="BA37" i="1"/>
  <c r="BA35" i="1"/>
  <c r="BA34" i="1"/>
  <c r="BA27" i="1"/>
  <c r="BA42" i="1"/>
  <c r="BA41" i="1"/>
  <c r="BA38" i="1"/>
  <c r="BA36" i="1"/>
  <c r="BA29" i="1"/>
  <c r="BA28" i="1"/>
  <c r="BA46" i="1"/>
  <c r="BA31" i="1"/>
  <c r="BA25" i="1"/>
  <c r="BA23" i="1"/>
  <c r="BA33" i="1"/>
  <c r="BA26" i="1"/>
  <c r="BA17" i="1"/>
  <c r="BA13" i="1"/>
  <c r="BA11" i="1"/>
  <c r="BB4" i="1"/>
  <c r="BA6" i="1"/>
  <c r="BA16" i="1"/>
  <c r="BA21" i="1"/>
  <c r="BA18" i="1"/>
  <c r="BA15" i="1"/>
  <c r="BA14" i="1"/>
  <c r="BA20" i="1"/>
  <c r="BA32" i="1"/>
  <c r="BA8" i="1"/>
  <c r="BA30" i="1"/>
  <c r="BA10" i="1"/>
  <c r="BA40" i="1"/>
  <c r="BA22" i="1"/>
  <c r="BA9" i="1"/>
  <c r="BA7" i="1"/>
  <c r="BA3" i="1"/>
  <c r="BB50" i="1" l="1"/>
  <c r="BB52" i="1"/>
  <c r="BB53" i="1"/>
  <c r="BB47" i="1"/>
  <c r="BB46" i="1"/>
  <c r="BB51" i="1"/>
  <c r="BB37" i="1"/>
  <c r="BB48" i="1"/>
  <c r="BB40" i="1"/>
  <c r="BB38" i="1"/>
  <c r="BB45" i="1"/>
  <c r="BB42" i="1"/>
  <c r="BB41" i="1"/>
  <c r="BB36" i="1"/>
  <c r="BB29" i="1"/>
  <c r="BB28" i="1"/>
  <c r="BB43" i="1"/>
  <c r="BB31" i="1"/>
  <c r="BB30" i="1"/>
  <c r="BB35" i="1"/>
  <c r="BB33" i="1"/>
  <c r="BB27" i="1"/>
  <c r="BB26" i="1"/>
  <c r="BB17" i="1"/>
  <c r="BB20" i="1"/>
  <c r="BB18" i="1"/>
  <c r="BB21" i="1"/>
  <c r="BB15" i="1"/>
  <c r="BB14" i="1"/>
  <c r="BB6" i="1"/>
  <c r="BB8" i="1"/>
  <c r="BB7" i="1"/>
  <c r="BB25" i="1"/>
  <c r="BB22" i="1"/>
  <c r="BB23" i="1"/>
  <c r="BB16" i="1"/>
  <c r="BB32" i="1"/>
  <c r="BB9" i="1"/>
  <c r="BB3" i="1"/>
  <c r="BB13" i="1"/>
  <c r="BC4" i="1"/>
  <c r="BB34" i="1"/>
  <c r="BB11" i="1"/>
  <c r="BB10" i="1"/>
  <c r="BC52" i="1" l="1"/>
  <c r="BC51" i="1"/>
  <c r="BC53" i="1"/>
  <c r="BC50" i="1"/>
  <c r="BC48" i="1"/>
  <c r="BC46" i="1"/>
  <c r="BC47" i="1"/>
  <c r="BC40" i="1"/>
  <c r="BC38" i="1"/>
  <c r="BC43" i="1"/>
  <c r="BC42" i="1"/>
  <c r="BC41" i="1"/>
  <c r="BC31" i="1"/>
  <c r="BC30" i="1"/>
  <c r="BC33" i="1"/>
  <c r="BC32" i="1"/>
  <c r="BC20" i="1"/>
  <c r="BC18" i="1"/>
  <c r="BC45" i="1"/>
  <c r="BC36" i="1"/>
  <c r="BC29" i="1"/>
  <c r="BC28" i="1"/>
  <c r="BC22" i="1"/>
  <c r="BC21" i="1"/>
  <c r="BC26" i="1"/>
  <c r="BC23" i="1"/>
  <c r="BC16" i="1"/>
  <c r="BC8" i="1"/>
  <c r="BC7" i="1"/>
  <c r="BC34" i="1"/>
  <c r="BC37" i="1"/>
  <c r="BC35" i="1"/>
  <c r="BC27" i="1"/>
  <c r="BC25" i="1"/>
  <c r="BC10" i="1"/>
  <c r="BC9" i="1"/>
  <c r="BC3" i="1"/>
  <c r="BC14" i="1"/>
  <c r="BC11" i="1"/>
  <c r="BD4" i="1"/>
  <c r="BC15" i="1"/>
  <c r="BC13" i="1"/>
  <c r="BC17" i="1"/>
  <c r="BC6" i="1"/>
  <c r="BD53" i="1" l="1"/>
  <c r="BD51" i="1"/>
  <c r="BD42" i="1"/>
  <c r="BD50" i="1"/>
  <c r="BD46" i="1"/>
  <c r="BD52" i="1"/>
  <c r="BD45" i="1"/>
  <c r="BD48" i="1"/>
  <c r="BD43" i="1"/>
  <c r="BD41" i="1"/>
  <c r="BD38" i="1"/>
  <c r="BD33" i="1"/>
  <c r="BD32" i="1"/>
  <c r="BD40" i="1"/>
  <c r="BD35" i="1"/>
  <c r="BD34" i="1"/>
  <c r="BD27" i="1"/>
  <c r="BD26" i="1"/>
  <c r="BD36" i="1"/>
  <c r="BD29" i="1"/>
  <c r="BD28" i="1"/>
  <c r="BD22" i="1"/>
  <c r="BD21" i="1"/>
  <c r="BD25" i="1"/>
  <c r="BD23" i="1"/>
  <c r="BD37" i="1"/>
  <c r="BD18" i="1"/>
  <c r="BD10" i="1"/>
  <c r="BD9" i="1"/>
  <c r="BD3" i="1"/>
  <c r="BE4" i="1"/>
  <c r="BD30" i="1"/>
  <c r="BD17" i="1"/>
  <c r="BD14" i="1"/>
  <c r="BD47" i="1"/>
  <c r="BD31" i="1"/>
  <c r="BD20" i="1"/>
  <c r="BD13" i="1"/>
  <c r="BD11" i="1"/>
  <c r="BD15" i="1"/>
  <c r="BD7" i="1"/>
  <c r="BD8" i="1"/>
  <c r="BD6" i="1"/>
  <c r="BD16" i="1"/>
  <c r="BE52" i="1" l="1"/>
  <c r="BE51" i="1"/>
  <c r="BE45" i="1"/>
  <c r="BE43" i="1"/>
  <c r="BE53" i="1"/>
  <c r="BE48" i="1"/>
  <c r="BE47" i="1"/>
  <c r="BE42" i="1"/>
  <c r="BE50" i="1"/>
  <c r="BE37" i="1"/>
  <c r="BE40" i="1"/>
  <c r="BE35" i="1"/>
  <c r="BE34" i="1"/>
  <c r="BE27" i="1"/>
  <c r="BE46" i="1"/>
  <c r="BE36" i="1"/>
  <c r="BE29" i="1"/>
  <c r="BE28" i="1"/>
  <c r="BE25" i="1"/>
  <c r="BE23" i="1"/>
  <c r="BE32" i="1"/>
  <c r="BE30" i="1"/>
  <c r="BE17" i="1"/>
  <c r="BE31" i="1"/>
  <c r="BE20" i="1"/>
  <c r="BE13" i="1"/>
  <c r="BE11" i="1"/>
  <c r="BF4" i="1"/>
  <c r="BE6" i="1"/>
  <c r="BE16" i="1"/>
  <c r="BE33" i="1"/>
  <c r="BE22" i="1"/>
  <c r="BE15" i="1"/>
  <c r="BE14" i="1"/>
  <c r="BE8" i="1"/>
  <c r="BE26" i="1"/>
  <c r="BE9" i="1"/>
  <c r="BE3" i="1"/>
  <c r="BE41" i="1"/>
  <c r="BE21" i="1"/>
  <c r="BE10" i="1"/>
  <c r="BE38" i="1"/>
  <c r="BE18" i="1"/>
  <c r="BE7" i="1"/>
  <c r="BF50" i="1" l="1"/>
  <c r="BF52" i="1"/>
  <c r="BF53" i="1"/>
  <c r="BF47" i="1"/>
  <c r="BF46" i="1"/>
  <c r="BF48" i="1"/>
  <c r="BF45" i="1"/>
  <c r="BF37" i="1"/>
  <c r="BF51" i="1"/>
  <c r="BF40" i="1"/>
  <c r="BF38" i="1"/>
  <c r="BF43" i="1"/>
  <c r="BF36" i="1"/>
  <c r="BF29" i="1"/>
  <c r="BF28" i="1"/>
  <c r="BF31" i="1"/>
  <c r="BF30" i="1"/>
  <c r="BF32" i="1"/>
  <c r="BF17" i="1"/>
  <c r="BF42" i="1"/>
  <c r="BF34" i="1"/>
  <c r="BF26" i="1"/>
  <c r="BF20" i="1"/>
  <c r="BF18" i="1"/>
  <c r="BF35" i="1"/>
  <c r="BF33" i="1"/>
  <c r="BF27" i="1"/>
  <c r="BF25" i="1"/>
  <c r="BF22" i="1"/>
  <c r="BF15" i="1"/>
  <c r="BF14" i="1"/>
  <c r="BF6" i="1"/>
  <c r="BF8" i="1"/>
  <c r="BF7" i="1"/>
  <c r="BF21" i="1"/>
  <c r="BF16" i="1"/>
  <c r="BF41" i="1"/>
  <c r="BF23" i="1"/>
  <c r="BF13" i="1"/>
  <c r="BF10" i="1"/>
  <c r="BF11" i="1"/>
  <c r="BG4" i="1"/>
  <c r="BF9" i="1"/>
  <c r="BF3" i="1"/>
  <c r="BG52" i="1" l="1"/>
  <c r="BG51" i="1"/>
  <c r="BG53" i="1"/>
  <c r="BG48" i="1"/>
  <c r="BG47" i="1"/>
  <c r="BG50" i="1"/>
  <c r="BG40" i="1"/>
  <c r="BG38" i="1"/>
  <c r="BG46" i="1"/>
  <c r="BG45" i="1"/>
  <c r="BG41" i="1"/>
  <c r="BG31" i="1"/>
  <c r="BG30" i="1"/>
  <c r="BG37" i="1"/>
  <c r="BG33" i="1"/>
  <c r="BG32" i="1"/>
  <c r="BG42" i="1"/>
  <c r="BG34" i="1"/>
  <c r="BG26" i="1"/>
  <c r="BG20" i="1"/>
  <c r="BG18" i="1"/>
  <c r="BG35" i="1"/>
  <c r="BG27" i="1"/>
  <c r="BG22" i="1"/>
  <c r="BG21" i="1"/>
  <c r="BG16" i="1"/>
  <c r="BG8" i="1"/>
  <c r="BG7" i="1"/>
  <c r="BG9" i="1"/>
  <c r="BG3" i="1"/>
  <c r="BG43" i="1"/>
  <c r="BG23" i="1"/>
  <c r="BG36" i="1"/>
  <c r="BG29" i="1"/>
  <c r="BG28" i="1"/>
  <c r="BG17" i="1"/>
  <c r="BG10" i="1"/>
  <c r="BH4" i="1"/>
  <c r="BG15" i="1"/>
  <c r="BG25" i="1"/>
  <c r="BG14" i="1"/>
  <c r="BG13" i="1"/>
  <c r="BG6" i="1"/>
  <c r="BG11" i="1"/>
  <c r="BH53" i="1" l="1"/>
  <c r="BH50" i="1"/>
  <c r="BH42" i="1"/>
  <c r="BH52" i="1"/>
  <c r="BH46" i="1"/>
  <c r="BH51" i="1"/>
  <c r="BH45" i="1"/>
  <c r="BH41" i="1"/>
  <c r="BH43" i="1"/>
  <c r="BH48" i="1"/>
  <c r="BH37" i="1"/>
  <c r="BH33" i="1"/>
  <c r="BH32" i="1"/>
  <c r="BH35" i="1"/>
  <c r="BH34" i="1"/>
  <c r="BH27" i="1"/>
  <c r="BH26" i="1"/>
  <c r="BH30" i="1"/>
  <c r="BH22" i="1"/>
  <c r="BH21" i="1"/>
  <c r="BH47" i="1"/>
  <c r="BH38" i="1"/>
  <c r="BH31" i="1"/>
  <c r="BH25" i="1"/>
  <c r="BH23" i="1"/>
  <c r="BH36" i="1"/>
  <c r="BH29" i="1"/>
  <c r="BH28" i="1"/>
  <c r="BH17" i="1"/>
  <c r="BH10" i="1"/>
  <c r="BH9" i="1"/>
  <c r="BH3" i="1"/>
  <c r="BH15" i="1"/>
  <c r="BH14" i="1"/>
  <c r="BH13" i="1"/>
  <c r="BH11" i="1"/>
  <c r="BI4" i="1"/>
  <c r="BH40" i="1"/>
  <c r="BH18" i="1"/>
  <c r="BH6" i="1"/>
  <c r="BH8" i="1"/>
  <c r="BH20" i="1"/>
  <c r="BH16" i="1"/>
  <c r="BH7" i="1"/>
  <c r="BI52" i="1" l="1"/>
  <c r="BI51" i="1"/>
  <c r="BI45" i="1"/>
  <c r="BI43" i="1"/>
  <c r="BI53" i="1"/>
  <c r="BI46" i="1"/>
  <c r="BI50" i="1"/>
  <c r="BI47" i="1"/>
  <c r="BI42" i="1"/>
  <c r="BI37" i="1"/>
  <c r="BI35" i="1"/>
  <c r="BI34" i="1"/>
  <c r="BI27" i="1"/>
  <c r="BI41" i="1"/>
  <c r="BI38" i="1"/>
  <c r="BI36" i="1"/>
  <c r="BI29" i="1"/>
  <c r="BI28" i="1"/>
  <c r="BI31" i="1"/>
  <c r="BI25" i="1"/>
  <c r="BI23" i="1"/>
  <c r="BI40" i="1"/>
  <c r="BI33" i="1"/>
  <c r="BI17" i="1"/>
  <c r="BI13" i="1"/>
  <c r="BI11" i="1"/>
  <c r="BJ4" i="1"/>
  <c r="BI26" i="1"/>
  <c r="BI20" i="1"/>
  <c r="BI32" i="1"/>
  <c r="BI30" i="1"/>
  <c r="BI21" i="1"/>
  <c r="BI18" i="1"/>
  <c r="BI15" i="1"/>
  <c r="BI14" i="1"/>
  <c r="BI6" i="1"/>
  <c r="BI16" i="1"/>
  <c r="BI22" i="1"/>
  <c r="BI48" i="1"/>
  <c r="BI9" i="1"/>
  <c r="BI7" i="1"/>
  <c r="BI3" i="1"/>
  <c r="BI8" i="1"/>
  <c r="BI10" i="1"/>
  <c r="BJ50" i="1" l="1"/>
  <c r="BJ52" i="1"/>
  <c r="BJ53" i="1"/>
  <c r="BJ47" i="1"/>
  <c r="BJ46" i="1"/>
  <c r="BJ51" i="1"/>
  <c r="BJ48" i="1"/>
  <c r="BJ45" i="1"/>
  <c r="BJ43" i="1"/>
  <c r="BJ42" i="1"/>
  <c r="BJ37" i="1"/>
  <c r="BJ40" i="1"/>
  <c r="BJ38" i="1"/>
  <c r="BJ41" i="1"/>
  <c r="BJ36" i="1"/>
  <c r="BJ29" i="1"/>
  <c r="BJ28" i="1"/>
  <c r="BJ31" i="1"/>
  <c r="BJ30" i="1"/>
  <c r="BJ35" i="1"/>
  <c r="BJ33" i="1"/>
  <c r="BJ27" i="1"/>
  <c r="BJ17" i="1"/>
  <c r="BJ20" i="1"/>
  <c r="BJ18" i="1"/>
  <c r="BJ32" i="1"/>
  <c r="BJ21" i="1"/>
  <c r="BJ15" i="1"/>
  <c r="BJ14" i="1"/>
  <c r="BJ6" i="1"/>
  <c r="BJ7" i="1"/>
  <c r="BJ34" i="1"/>
  <c r="BJ26" i="1"/>
  <c r="BJ23" i="1"/>
  <c r="BJ16" i="1"/>
  <c r="BJ8" i="1"/>
  <c r="BJ25" i="1"/>
  <c r="BJ22" i="1"/>
  <c r="BJ9" i="1"/>
  <c r="BJ3" i="1"/>
  <c r="BJ10" i="1"/>
  <c r="BJ11" i="1"/>
  <c r="BJ13" i="1"/>
  <c r="BK4" i="1"/>
  <c r="BK52" i="1" l="1"/>
  <c r="BK51" i="1"/>
  <c r="BK53" i="1"/>
  <c r="BK48" i="1"/>
  <c r="BK50" i="1"/>
  <c r="BK45" i="1"/>
  <c r="BK47" i="1"/>
  <c r="BK46" i="1"/>
  <c r="BK40" i="1"/>
  <c r="BK38" i="1"/>
  <c r="BK41" i="1"/>
  <c r="BK31" i="1"/>
  <c r="BK30" i="1"/>
  <c r="BK42" i="1"/>
  <c r="BK33" i="1"/>
  <c r="BK32" i="1"/>
  <c r="BK20" i="1"/>
  <c r="BK18" i="1"/>
  <c r="BK43" i="1"/>
  <c r="BK37" i="1"/>
  <c r="BK36" i="1"/>
  <c r="BK29" i="1"/>
  <c r="BK28" i="1"/>
  <c r="BK26" i="1"/>
  <c r="BK22" i="1"/>
  <c r="BK21" i="1"/>
  <c r="BK34" i="1"/>
  <c r="BK23" i="1"/>
  <c r="BK16" i="1"/>
  <c r="BK8" i="1"/>
  <c r="BK7" i="1"/>
  <c r="BK9" i="1"/>
  <c r="BK3" i="1"/>
  <c r="BK25" i="1"/>
  <c r="BK10" i="1"/>
  <c r="BK35" i="1"/>
  <c r="BK27" i="1"/>
  <c r="BK11" i="1"/>
  <c r="BK17" i="1"/>
  <c r="BK14" i="1"/>
  <c r="BK6" i="1"/>
  <c r="BK15" i="1"/>
  <c r="BK13" i="1"/>
  <c r="BL4" i="1"/>
  <c r="BL53" i="1" l="1"/>
  <c r="BL51" i="1"/>
  <c r="BL42" i="1"/>
  <c r="BL52" i="1"/>
  <c r="BL48" i="1"/>
  <c r="BL47" i="1"/>
  <c r="BL41" i="1"/>
  <c r="BL50" i="1"/>
  <c r="BL46" i="1"/>
  <c r="BL38" i="1"/>
  <c r="BL33" i="1"/>
  <c r="BL32" i="1"/>
  <c r="BL43" i="1"/>
  <c r="BL40" i="1"/>
  <c r="BL35" i="1"/>
  <c r="BL34" i="1"/>
  <c r="BL27" i="1"/>
  <c r="BL26" i="1"/>
  <c r="BL45" i="1"/>
  <c r="BL37" i="1"/>
  <c r="BL36" i="1"/>
  <c r="BL29" i="1"/>
  <c r="BL28" i="1"/>
  <c r="BL22" i="1"/>
  <c r="BL21" i="1"/>
  <c r="BL25" i="1"/>
  <c r="BL23" i="1"/>
  <c r="BL30" i="1"/>
  <c r="BL18" i="1"/>
  <c r="BL10" i="1"/>
  <c r="BL9" i="1"/>
  <c r="BL3" i="1"/>
  <c r="BM4" i="1"/>
  <c r="BL14" i="1"/>
  <c r="BL20" i="1"/>
  <c r="BL13" i="1"/>
  <c r="BL11" i="1"/>
  <c r="BL17" i="1"/>
  <c r="BL15" i="1"/>
  <c r="BL7" i="1"/>
  <c r="BL6" i="1"/>
  <c r="BL16" i="1"/>
  <c r="BL8" i="1"/>
  <c r="BL31" i="1"/>
  <c r="BM52" i="1" l="1"/>
  <c r="BM51" i="1"/>
  <c r="BM50" i="1"/>
  <c r="BM45" i="1"/>
  <c r="BM43" i="1"/>
  <c r="BM53" i="1"/>
  <c r="BM46" i="1"/>
  <c r="BM47" i="1"/>
  <c r="BM48" i="1"/>
  <c r="BM37" i="1"/>
  <c r="BM42" i="1"/>
  <c r="BM40" i="1"/>
  <c r="BM35" i="1"/>
  <c r="BM34" i="1"/>
  <c r="BM27" i="1"/>
  <c r="BM36" i="1"/>
  <c r="BM29" i="1"/>
  <c r="BM28" i="1"/>
  <c r="BM38" i="1"/>
  <c r="BM26" i="1"/>
  <c r="BM25" i="1"/>
  <c r="BM23" i="1"/>
  <c r="BM41" i="1"/>
  <c r="BM32" i="1"/>
  <c r="BM30" i="1"/>
  <c r="BM17" i="1"/>
  <c r="BM20" i="1"/>
  <c r="BM13" i="1"/>
  <c r="BM11" i="1"/>
  <c r="BN4" i="1"/>
  <c r="BM6" i="1"/>
  <c r="BM31" i="1"/>
  <c r="BM16" i="1"/>
  <c r="BM22" i="1"/>
  <c r="BM15" i="1"/>
  <c r="BM14" i="1"/>
  <c r="BM21" i="1"/>
  <c r="BM8" i="1"/>
  <c r="BM33" i="1"/>
  <c r="BM7" i="1"/>
  <c r="BM18" i="1"/>
  <c r="BM10" i="1"/>
  <c r="BM9" i="1"/>
  <c r="BM3" i="1"/>
  <c r="BN50" i="1" l="1"/>
  <c r="BN52" i="1"/>
  <c r="BN53" i="1"/>
  <c r="BN47" i="1"/>
  <c r="BN46" i="1"/>
  <c r="BN51" i="1"/>
  <c r="BN48" i="1"/>
  <c r="BN37" i="1"/>
  <c r="BN43" i="1"/>
  <c r="BN42" i="1"/>
  <c r="BN40" i="1"/>
  <c r="BN38" i="1"/>
  <c r="BN36" i="1"/>
  <c r="BN29" i="1"/>
  <c r="BN28" i="1"/>
  <c r="BN45" i="1"/>
  <c r="BN31" i="1"/>
  <c r="BN30" i="1"/>
  <c r="BN41" i="1"/>
  <c r="BN32" i="1"/>
  <c r="BN17" i="1"/>
  <c r="BN34" i="1"/>
  <c r="BN20" i="1"/>
  <c r="BN18" i="1"/>
  <c r="BN26" i="1"/>
  <c r="BN25" i="1"/>
  <c r="BN22" i="1"/>
  <c r="BN15" i="1"/>
  <c r="BN14" i="1"/>
  <c r="BN6" i="1"/>
  <c r="BN8" i="1"/>
  <c r="BN7" i="1"/>
  <c r="BN35" i="1"/>
  <c r="BN33" i="1"/>
  <c r="BN27" i="1"/>
  <c r="BN21" i="1"/>
  <c r="BN16" i="1"/>
  <c r="BN13" i="1"/>
  <c r="BN10" i="1"/>
  <c r="BN3" i="1"/>
  <c r="BN23" i="1"/>
  <c r="BO4" i="1"/>
  <c r="BN9" i="1"/>
  <c r="BN11" i="1"/>
  <c r="BO52" i="1" l="1"/>
  <c r="BO51" i="1"/>
  <c r="BO53" i="1"/>
  <c r="BO48" i="1"/>
  <c r="BO46" i="1"/>
  <c r="BO45" i="1"/>
  <c r="BO43" i="1"/>
  <c r="BO42" i="1"/>
  <c r="BO40" i="1"/>
  <c r="BO38" i="1"/>
  <c r="BO41" i="1"/>
  <c r="BO31" i="1"/>
  <c r="BO30" i="1"/>
  <c r="BO47" i="1"/>
  <c r="BO37" i="1"/>
  <c r="BO33" i="1"/>
  <c r="BO32" i="1"/>
  <c r="BO50" i="1"/>
  <c r="BO34" i="1"/>
  <c r="BO20" i="1"/>
  <c r="BO18" i="1"/>
  <c r="BO35" i="1"/>
  <c r="BO27" i="1"/>
  <c r="BO22" i="1"/>
  <c r="BO21" i="1"/>
  <c r="BO16" i="1"/>
  <c r="BO8" i="1"/>
  <c r="BO7" i="1"/>
  <c r="BO2" i="1"/>
  <c r="BO3" i="1"/>
  <c r="BO23" i="1"/>
  <c r="BO17" i="1"/>
  <c r="BO10" i="1"/>
  <c r="BO9" i="1"/>
  <c r="BO15" i="1"/>
  <c r="BP4" i="1"/>
  <c r="BO25" i="1"/>
  <c r="BO11" i="1"/>
  <c r="BO36" i="1"/>
  <c r="BO29" i="1"/>
  <c r="BO28" i="1"/>
  <c r="BO26" i="1"/>
  <c r="BO14" i="1"/>
  <c r="BO6" i="1"/>
  <c r="BO13" i="1"/>
  <c r="BP53" i="1" l="1"/>
  <c r="BP52" i="1"/>
  <c r="BP42" i="1"/>
  <c r="BP51" i="1"/>
  <c r="BP45" i="1"/>
  <c r="BP50" i="1"/>
  <c r="BP48" i="1"/>
  <c r="BP47" i="1"/>
  <c r="BP41" i="1"/>
  <c r="BP43" i="1"/>
  <c r="BP37" i="1"/>
  <c r="BP33" i="1"/>
  <c r="BP32" i="1"/>
  <c r="BP35" i="1"/>
  <c r="BP34" i="1"/>
  <c r="BP27" i="1"/>
  <c r="BP26" i="1"/>
  <c r="BP40" i="1"/>
  <c r="BP30" i="1"/>
  <c r="BP22" i="1"/>
  <c r="BP21" i="1"/>
  <c r="BP31" i="1"/>
  <c r="BP25" i="1"/>
  <c r="BP23" i="1"/>
  <c r="BP17" i="1"/>
  <c r="BP10" i="1"/>
  <c r="BP9" i="1"/>
  <c r="BP3" i="1"/>
  <c r="BP36" i="1"/>
  <c r="BP29" i="1"/>
  <c r="BP18" i="1"/>
  <c r="BP15" i="1"/>
  <c r="BP14" i="1"/>
  <c r="BP13" i="1"/>
  <c r="BP11" i="1"/>
  <c r="BQ4" i="1"/>
  <c r="BP46" i="1"/>
  <c r="BP38" i="1"/>
  <c r="BP28" i="1"/>
  <c r="BP20" i="1"/>
  <c r="BP16" i="1"/>
  <c r="BP6" i="1"/>
  <c r="BP7" i="1"/>
  <c r="BP8" i="1"/>
  <c r="BQ52" i="1" l="1"/>
  <c r="BQ51" i="1"/>
  <c r="BQ53" i="1"/>
  <c r="BQ45" i="1"/>
  <c r="BQ43" i="1"/>
  <c r="BQ50" i="1"/>
  <c r="BQ48" i="1"/>
  <c r="BQ47" i="1"/>
  <c r="BQ46" i="1"/>
  <c r="BQ37" i="1"/>
  <c r="BQ35" i="1"/>
  <c r="BQ34" i="1"/>
  <c r="BQ27" i="1"/>
  <c r="BQ41" i="1"/>
  <c r="BQ38" i="1"/>
  <c r="BQ36" i="1"/>
  <c r="BQ29" i="1"/>
  <c r="BQ28" i="1"/>
  <c r="BQ31" i="1"/>
  <c r="BQ25" i="1"/>
  <c r="BQ23" i="1"/>
  <c r="BQ33" i="1"/>
  <c r="BQ26" i="1"/>
  <c r="BQ17" i="1"/>
  <c r="BQ13" i="1"/>
  <c r="BQ11" i="1"/>
  <c r="BR4" i="1"/>
  <c r="BQ6" i="1"/>
  <c r="BQ16" i="1"/>
  <c r="BQ40" i="1"/>
  <c r="BQ21" i="1"/>
  <c r="BQ18" i="1"/>
  <c r="BQ15" i="1"/>
  <c r="BQ14" i="1"/>
  <c r="BQ20" i="1"/>
  <c r="BQ42" i="1"/>
  <c r="BQ30" i="1"/>
  <c r="BQ8" i="1"/>
  <c r="BQ32" i="1"/>
  <c r="BQ9" i="1"/>
  <c r="BQ7" i="1"/>
  <c r="BQ3" i="1"/>
  <c r="BQ22" i="1"/>
  <c r="BQ10" i="1"/>
  <c r="BR50" i="1" l="1"/>
  <c r="BR52" i="1"/>
  <c r="BR53" i="1"/>
  <c r="BR47" i="1"/>
  <c r="BR46" i="1"/>
  <c r="BR51" i="1"/>
  <c r="BR37" i="1"/>
  <c r="BR45" i="1"/>
  <c r="BR40" i="1"/>
  <c r="BR38" i="1"/>
  <c r="BR41" i="1"/>
  <c r="BR36" i="1"/>
  <c r="BR29" i="1"/>
  <c r="BR28" i="1"/>
  <c r="BR31" i="1"/>
  <c r="BR30" i="1"/>
  <c r="BR43" i="1"/>
  <c r="BR35" i="1"/>
  <c r="BR33" i="1"/>
  <c r="BR27" i="1"/>
  <c r="BR26" i="1"/>
  <c r="BR17" i="1"/>
  <c r="BR20" i="1"/>
  <c r="BR18" i="1"/>
  <c r="BR21" i="1"/>
  <c r="BR15" i="1"/>
  <c r="BR14" i="1"/>
  <c r="BR6" i="1"/>
  <c r="BR8" i="1"/>
  <c r="BR7" i="1"/>
  <c r="BR48" i="1"/>
  <c r="BR42" i="1"/>
  <c r="BR32" i="1"/>
  <c r="BR25" i="1"/>
  <c r="BR22" i="1"/>
  <c r="BR23" i="1"/>
  <c r="BR16" i="1"/>
  <c r="BR34" i="1"/>
  <c r="BR9" i="1"/>
  <c r="BR3" i="1"/>
  <c r="BR13" i="1"/>
  <c r="BS4" i="1"/>
  <c r="BR11" i="1"/>
  <c r="BR10" i="1"/>
  <c r="BS52" i="1" l="1"/>
  <c r="BS51" i="1"/>
  <c r="BS53" i="1"/>
  <c r="BS50" i="1"/>
  <c r="BS48" i="1"/>
  <c r="BS46" i="1"/>
  <c r="BS45" i="1"/>
  <c r="BS40" i="1"/>
  <c r="BS38" i="1"/>
  <c r="BS43" i="1"/>
  <c r="BS42" i="1"/>
  <c r="BS41" i="1"/>
  <c r="BS47" i="1"/>
  <c r="BS31" i="1"/>
  <c r="BS30" i="1"/>
  <c r="BS33" i="1"/>
  <c r="BS32" i="1"/>
  <c r="BS20" i="1"/>
  <c r="BS18" i="1"/>
  <c r="BS36" i="1"/>
  <c r="BS29" i="1"/>
  <c r="BS28" i="1"/>
  <c r="BS22" i="1"/>
  <c r="BS21" i="1"/>
  <c r="BS23" i="1"/>
  <c r="BS16" i="1"/>
  <c r="BS8" i="1"/>
  <c r="BS7" i="1"/>
  <c r="BS10" i="1"/>
  <c r="BS9" i="1"/>
  <c r="BS26" i="1"/>
  <c r="BS35" i="1"/>
  <c r="BS27" i="1"/>
  <c r="BS25" i="1"/>
  <c r="BS3" i="1"/>
  <c r="BS34" i="1"/>
  <c r="BS14" i="1"/>
  <c r="BS11" i="1"/>
  <c r="BT4" i="1"/>
  <c r="BS17" i="1"/>
  <c r="BS13" i="1"/>
  <c r="BS37" i="1"/>
  <c r="BS15" i="1"/>
  <c r="BS6" i="1"/>
  <c r="BT53" i="1" l="1"/>
  <c r="BT51" i="1"/>
  <c r="BT42" i="1"/>
  <c r="BT46" i="1"/>
  <c r="BT45" i="1"/>
  <c r="BT43" i="1"/>
  <c r="BT41" i="1"/>
  <c r="BT50" i="1"/>
  <c r="BT47" i="1"/>
  <c r="BT52" i="1"/>
  <c r="BT38" i="1"/>
  <c r="BT33" i="1"/>
  <c r="BT32" i="1"/>
  <c r="BT48" i="1"/>
  <c r="BT40" i="1"/>
  <c r="BT35" i="1"/>
  <c r="BT34" i="1"/>
  <c r="BT27" i="1"/>
  <c r="BT26" i="1"/>
  <c r="BT36" i="1"/>
  <c r="BT29" i="1"/>
  <c r="BT28" i="1"/>
  <c r="BT22" i="1"/>
  <c r="BT21" i="1"/>
  <c r="BT25" i="1"/>
  <c r="BT23" i="1"/>
  <c r="BT18" i="1"/>
  <c r="BT10" i="1"/>
  <c r="BT9" i="1"/>
  <c r="BT3" i="1"/>
  <c r="BU4" i="1"/>
  <c r="BT37" i="1"/>
  <c r="BT17" i="1"/>
  <c r="BT15" i="1"/>
  <c r="BT14" i="1"/>
  <c r="BT31" i="1"/>
  <c r="BT20" i="1"/>
  <c r="BT13" i="1"/>
  <c r="BT11" i="1"/>
  <c r="BT30" i="1"/>
  <c r="BT7" i="1"/>
  <c r="BT16" i="1"/>
  <c r="BT8" i="1"/>
  <c r="BT6" i="1"/>
  <c r="BU52" i="1" l="1"/>
  <c r="BU51" i="1"/>
  <c r="BU45" i="1"/>
  <c r="BU43" i="1"/>
  <c r="BU48" i="1"/>
  <c r="BU47" i="1"/>
  <c r="BU50" i="1"/>
  <c r="BU46" i="1"/>
  <c r="BU42" i="1"/>
  <c r="BU53" i="1"/>
  <c r="BU37" i="1"/>
  <c r="BU40" i="1"/>
  <c r="BU35" i="1"/>
  <c r="BU34" i="1"/>
  <c r="BU27" i="1"/>
  <c r="BU36" i="1"/>
  <c r="BU29" i="1"/>
  <c r="BU28" i="1"/>
  <c r="BU25" i="1"/>
  <c r="BU23" i="1"/>
  <c r="BU32" i="1"/>
  <c r="BU30" i="1"/>
  <c r="BU17" i="1"/>
  <c r="BU31" i="1"/>
  <c r="BU20" i="1"/>
  <c r="BU13" i="1"/>
  <c r="BU11" i="1"/>
  <c r="BV4" i="1"/>
  <c r="BU16" i="1"/>
  <c r="BU41" i="1"/>
  <c r="BU38" i="1"/>
  <c r="BU33" i="1"/>
  <c r="BU26" i="1"/>
  <c r="BU22" i="1"/>
  <c r="BU15" i="1"/>
  <c r="BU14" i="1"/>
  <c r="BU6" i="1"/>
  <c r="BU18" i="1"/>
  <c r="BU8" i="1"/>
  <c r="BU21" i="1"/>
  <c r="BU7" i="1"/>
  <c r="BU3" i="1"/>
  <c r="BU10" i="1"/>
  <c r="BU9" i="1"/>
  <c r="BV50" i="1" l="1"/>
  <c r="BV52" i="1"/>
  <c r="BV53" i="1"/>
  <c r="BV47" i="1"/>
  <c r="BV46" i="1"/>
  <c r="BV48" i="1"/>
  <c r="BV45" i="1"/>
  <c r="BV37" i="1"/>
  <c r="BV40" i="1"/>
  <c r="BV38" i="1"/>
  <c r="BV51" i="1"/>
  <c r="BV36" i="1"/>
  <c r="BV29" i="1"/>
  <c r="BV28" i="1"/>
  <c r="BV42" i="1"/>
  <c r="BV31" i="1"/>
  <c r="BV30" i="1"/>
  <c r="BV32" i="1"/>
  <c r="BV17" i="1"/>
  <c r="BV16" i="1"/>
  <c r="BV34" i="1"/>
  <c r="BV26" i="1"/>
  <c r="BV20" i="1"/>
  <c r="BV18" i="1"/>
  <c r="BV41" i="1"/>
  <c r="BV35" i="1"/>
  <c r="BV33" i="1"/>
  <c r="BV27" i="1"/>
  <c r="BV25" i="1"/>
  <c r="BV22" i="1"/>
  <c r="BV15" i="1"/>
  <c r="BV14" i="1"/>
  <c r="BV6" i="1"/>
  <c r="BV8" i="1"/>
  <c r="BV7" i="1"/>
  <c r="BV21" i="1"/>
  <c r="BV43" i="1"/>
  <c r="BV13" i="1"/>
  <c r="BV10" i="1"/>
  <c r="BV23" i="1"/>
  <c r="BV3" i="1"/>
  <c r="BV11" i="1"/>
  <c r="BW4" i="1"/>
  <c r="BV9" i="1"/>
  <c r="BW52" i="1" l="1"/>
  <c r="BW51" i="1"/>
  <c r="BW53" i="1"/>
  <c r="BW48" i="1"/>
  <c r="BW47" i="1"/>
  <c r="BW50" i="1"/>
  <c r="BW40" i="1"/>
  <c r="BW38" i="1"/>
  <c r="BW41" i="1"/>
  <c r="BW45" i="1"/>
  <c r="BW42" i="1"/>
  <c r="BW31" i="1"/>
  <c r="BW30" i="1"/>
  <c r="BW43" i="1"/>
  <c r="BW37" i="1"/>
  <c r="BW33" i="1"/>
  <c r="BW32" i="1"/>
  <c r="BW34" i="1"/>
  <c r="BW26" i="1"/>
  <c r="BW20" i="1"/>
  <c r="BW18" i="1"/>
  <c r="BW35" i="1"/>
  <c r="BW27" i="1"/>
  <c r="BW22" i="1"/>
  <c r="BW21" i="1"/>
  <c r="BW8" i="1"/>
  <c r="BW7" i="1"/>
  <c r="BW3" i="1"/>
  <c r="BW23" i="1"/>
  <c r="BW46" i="1"/>
  <c r="BW36" i="1"/>
  <c r="BW29" i="1"/>
  <c r="BW28" i="1"/>
  <c r="BW17" i="1"/>
  <c r="BW16" i="1"/>
  <c r="BW10" i="1"/>
  <c r="BW9" i="1"/>
  <c r="BX4" i="1"/>
  <c r="BW11" i="1"/>
  <c r="BW25" i="1"/>
  <c r="BW6" i="1"/>
  <c r="BW15" i="1"/>
  <c r="BW14" i="1"/>
  <c r="BW13" i="1"/>
  <c r="BX53" i="1" l="1"/>
  <c r="BX50" i="1"/>
  <c r="BX42" i="1"/>
  <c r="BX46" i="1"/>
  <c r="BX47" i="1"/>
  <c r="BX41" i="1"/>
  <c r="BX48" i="1"/>
  <c r="BX43" i="1"/>
  <c r="BX37" i="1"/>
  <c r="BX33" i="1"/>
  <c r="BX32" i="1"/>
  <c r="BX35" i="1"/>
  <c r="BX34" i="1"/>
  <c r="BX27" i="1"/>
  <c r="BX26" i="1"/>
  <c r="BX51" i="1"/>
  <c r="BX30" i="1"/>
  <c r="BX22" i="1"/>
  <c r="BX21" i="1"/>
  <c r="BX52" i="1"/>
  <c r="BX38" i="1"/>
  <c r="BX31" i="1"/>
  <c r="BX25" i="1"/>
  <c r="BX23" i="1"/>
  <c r="BX40" i="1"/>
  <c r="BX36" i="1"/>
  <c r="BX29" i="1"/>
  <c r="BX28" i="1"/>
  <c r="BX17" i="1"/>
  <c r="BX16" i="1"/>
  <c r="BX10" i="1"/>
  <c r="BX9" i="1"/>
  <c r="BX3" i="1"/>
  <c r="BX13" i="1"/>
  <c r="BX11" i="1"/>
  <c r="BY4" i="1"/>
  <c r="BX18" i="1"/>
  <c r="BX15" i="1"/>
  <c r="BX14" i="1"/>
  <c r="BX6" i="1"/>
  <c r="BX7" i="1"/>
  <c r="BX20" i="1"/>
  <c r="BX8" i="1"/>
  <c r="BX45" i="1"/>
  <c r="BY52" i="1" l="1"/>
  <c r="BY51" i="1"/>
  <c r="BY45" i="1"/>
  <c r="BY43" i="1"/>
  <c r="BY50" i="1"/>
  <c r="BY46" i="1"/>
  <c r="BY53" i="1"/>
  <c r="BY48" i="1"/>
  <c r="BY42" i="1"/>
  <c r="BY37" i="1"/>
  <c r="BY35" i="1"/>
  <c r="BY34" i="1"/>
  <c r="BY27" i="1"/>
  <c r="BY41" i="1"/>
  <c r="BY38" i="1"/>
  <c r="BY36" i="1"/>
  <c r="BY29" i="1"/>
  <c r="BY28" i="1"/>
  <c r="BY47" i="1"/>
  <c r="BY31" i="1"/>
  <c r="BY25" i="1"/>
  <c r="BY23" i="1"/>
  <c r="BY40" i="1"/>
  <c r="BY33" i="1"/>
  <c r="BY17" i="1"/>
  <c r="BY16" i="1"/>
  <c r="BY26" i="1"/>
  <c r="BY13" i="1"/>
  <c r="BY11" i="1"/>
  <c r="BZ4" i="1"/>
  <c r="BY6" i="1"/>
  <c r="BY20" i="1"/>
  <c r="BY32" i="1"/>
  <c r="BY30" i="1"/>
  <c r="BY21" i="1"/>
  <c r="BY18" i="1"/>
  <c r="BY15" i="1"/>
  <c r="BY14" i="1"/>
  <c r="BY22" i="1"/>
  <c r="BY10" i="1"/>
  <c r="BY9" i="1"/>
  <c r="BY7" i="1"/>
  <c r="BY3" i="1"/>
  <c r="BY8" i="1"/>
  <c r="BZ50" i="1" l="1"/>
  <c r="BZ52" i="1"/>
  <c r="BZ53" i="1"/>
  <c r="BZ47" i="1"/>
  <c r="BZ46" i="1"/>
  <c r="BZ51" i="1"/>
  <c r="BZ48" i="1"/>
  <c r="BZ45" i="1"/>
  <c r="BZ43" i="1"/>
  <c r="BZ42" i="1"/>
  <c r="BZ37" i="1"/>
  <c r="BZ40" i="1"/>
  <c r="BZ38" i="1"/>
  <c r="BZ41" i="1"/>
  <c r="BZ36" i="1"/>
  <c r="BZ29" i="1"/>
  <c r="BZ28" i="1"/>
  <c r="BZ31" i="1"/>
  <c r="BZ30" i="1"/>
  <c r="BZ35" i="1"/>
  <c r="BZ33" i="1"/>
  <c r="BZ27" i="1"/>
  <c r="BZ17" i="1"/>
  <c r="BZ16" i="1"/>
  <c r="BZ20" i="1"/>
  <c r="BZ18" i="1"/>
  <c r="BZ32" i="1"/>
  <c r="BZ21" i="1"/>
  <c r="BZ15" i="1"/>
  <c r="BZ14" i="1"/>
  <c r="BZ6" i="1"/>
  <c r="BZ7" i="1"/>
  <c r="BZ25" i="1"/>
  <c r="BZ22" i="1"/>
  <c r="BZ34" i="1"/>
  <c r="BZ23" i="1"/>
  <c r="BZ8" i="1"/>
  <c r="BZ26" i="1"/>
  <c r="BZ9" i="1"/>
  <c r="BZ3" i="1"/>
  <c r="BZ11" i="1"/>
  <c r="BZ13" i="1"/>
  <c r="BZ10" i="1"/>
  <c r="CA4" i="1"/>
  <c r="CA52" i="1" l="1"/>
  <c r="CA51" i="1"/>
  <c r="CA53" i="1"/>
  <c r="CA48" i="1"/>
  <c r="CA45" i="1"/>
  <c r="CA47" i="1"/>
  <c r="CA40" i="1"/>
  <c r="CA38" i="1"/>
  <c r="CA41" i="1"/>
  <c r="CA43" i="1"/>
  <c r="CA31" i="1"/>
  <c r="CA30" i="1"/>
  <c r="CA46" i="1"/>
  <c r="CA33" i="1"/>
  <c r="CA32" i="1"/>
  <c r="CA20" i="1"/>
  <c r="CA18" i="1"/>
  <c r="CA42" i="1"/>
  <c r="CA37" i="1"/>
  <c r="CA36" i="1"/>
  <c r="CA29" i="1"/>
  <c r="CA28" i="1"/>
  <c r="CA26" i="1"/>
  <c r="CA22" i="1"/>
  <c r="CA21" i="1"/>
  <c r="CA50" i="1"/>
  <c r="CA34" i="1"/>
  <c r="CA23" i="1"/>
  <c r="CA8" i="1"/>
  <c r="CA7" i="1"/>
  <c r="CA9" i="1"/>
  <c r="CA3" i="1"/>
  <c r="CA25" i="1"/>
  <c r="CA10" i="1"/>
  <c r="CA17" i="1"/>
  <c r="CA11" i="1"/>
  <c r="CA16" i="1"/>
  <c r="CA35" i="1"/>
  <c r="CA27" i="1"/>
  <c r="CA6" i="1"/>
  <c r="CA15" i="1"/>
  <c r="CA13" i="1"/>
  <c r="CA14" i="1"/>
  <c r="CB4" i="1"/>
  <c r="CB53" i="1" l="1"/>
  <c r="CB51" i="1"/>
  <c r="CB42" i="1"/>
  <c r="CB52" i="1"/>
  <c r="CB50" i="1"/>
  <c r="CB48" i="1"/>
  <c r="CB47" i="1"/>
  <c r="CB41" i="1"/>
  <c r="CB46" i="1"/>
  <c r="CB45" i="1"/>
  <c r="CB38" i="1"/>
  <c r="CB33" i="1"/>
  <c r="CB32" i="1"/>
  <c r="CB40" i="1"/>
  <c r="CB35" i="1"/>
  <c r="CB34" i="1"/>
  <c r="CB27" i="1"/>
  <c r="CB26" i="1"/>
  <c r="CB37" i="1"/>
  <c r="CB36" i="1"/>
  <c r="CB29" i="1"/>
  <c r="CB28" i="1"/>
  <c r="CB22" i="1"/>
  <c r="CB21" i="1"/>
  <c r="CB25" i="1"/>
  <c r="CB23" i="1"/>
  <c r="CB43" i="1"/>
  <c r="CB30" i="1"/>
  <c r="CB18" i="1"/>
  <c r="CB10" i="1"/>
  <c r="CB9" i="1"/>
  <c r="CB3" i="1"/>
  <c r="CC4" i="1"/>
  <c r="CB16" i="1"/>
  <c r="CB15" i="1"/>
  <c r="CB14" i="1"/>
  <c r="CB20" i="1"/>
  <c r="CB13" i="1"/>
  <c r="CB11" i="1"/>
  <c r="CB17" i="1"/>
  <c r="CB7" i="1"/>
  <c r="CB6" i="1"/>
  <c r="CB31" i="1"/>
  <c r="CB8" i="1"/>
  <c r="CC52" i="1" l="1"/>
  <c r="CC51" i="1"/>
  <c r="CC50" i="1"/>
  <c r="CC45" i="1"/>
  <c r="CC43" i="1"/>
  <c r="CC53" i="1"/>
  <c r="CC46" i="1"/>
  <c r="CC37" i="1"/>
  <c r="CC48" i="1"/>
  <c r="CC40" i="1"/>
  <c r="CC35" i="1"/>
  <c r="CC34" i="1"/>
  <c r="CC27" i="1"/>
  <c r="CC36" i="1"/>
  <c r="CC29" i="1"/>
  <c r="CC28" i="1"/>
  <c r="CC42" i="1"/>
  <c r="CC38" i="1"/>
  <c r="CC26" i="1"/>
  <c r="CC25" i="1"/>
  <c r="CC23" i="1"/>
  <c r="CC41" i="1"/>
  <c r="CC32" i="1"/>
  <c r="CC30" i="1"/>
  <c r="CC17" i="1"/>
  <c r="CC16" i="1"/>
  <c r="CC47" i="1"/>
  <c r="CC20" i="1"/>
  <c r="CC13" i="1"/>
  <c r="CC11" i="1"/>
  <c r="CD4" i="1"/>
  <c r="CC22" i="1"/>
  <c r="CC15" i="1"/>
  <c r="CC14" i="1"/>
  <c r="CC6" i="1"/>
  <c r="CC31" i="1"/>
  <c r="CC8" i="1"/>
  <c r="CC21" i="1"/>
  <c r="CC9" i="1"/>
  <c r="CC10" i="1"/>
  <c r="CC33" i="1"/>
  <c r="CC18" i="1"/>
  <c r="CC7" i="1"/>
  <c r="CC3" i="1"/>
  <c r="CD50" i="1" l="1"/>
  <c r="CD52" i="1"/>
  <c r="CD53" i="1"/>
  <c r="CD47" i="1"/>
  <c r="CD46" i="1"/>
  <c r="CD51" i="1"/>
  <c r="CD45" i="1"/>
  <c r="CD37" i="1"/>
  <c r="CD43" i="1"/>
  <c r="CD42" i="1"/>
  <c r="CD40" i="1"/>
  <c r="CD38" i="1"/>
  <c r="CD36" i="1"/>
  <c r="CD29" i="1"/>
  <c r="CD28" i="1"/>
  <c r="CD31" i="1"/>
  <c r="CD30" i="1"/>
  <c r="CD41" i="1"/>
  <c r="CD32" i="1"/>
  <c r="CD17" i="1"/>
  <c r="CD16" i="1"/>
  <c r="CD48" i="1"/>
  <c r="CD34" i="1"/>
  <c r="CD20" i="1"/>
  <c r="CD18" i="1"/>
  <c r="CD25" i="1"/>
  <c r="CD22" i="1"/>
  <c r="CD15" i="1"/>
  <c r="CD14" i="1"/>
  <c r="CD6" i="1"/>
  <c r="CD8" i="1"/>
  <c r="CD7" i="1"/>
  <c r="CD33" i="1"/>
  <c r="CD21" i="1"/>
  <c r="CD35" i="1"/>
  <c r="CD27" i="1"/>
  <c r="CD26" i="1"/>
  <c r="CD13" i="1"/>
  <c r="CD10" i="1"/>
  <c r="CD23" i="1"/>
  <c r="CE4" i="1"/>
  <c r="CD9" i="1"/>
  <c r="CD3" i="1"/>
  <c r="CD11" i="1"/>
  <c r="CE52" i="1" l="1"/>
  <c r="CE51" i="1"/>
  <c r="CE53" i="1"/>
  <c r="CE48" i="1"/>
  <c r="CE46" i="1"/>
  <c r="CE45" i="1"/>
  <c r="CE43" i="1"/>
  <c r="CE42" i="1"/>
  <c r="CE40" i="1"/>
  <c r="CE38" i="1"/>
  <c r="CE47" i="1"/>
  <c r="CE41" i="1"/>
  <c r="CE31" i="1"/>
  <c r="CE30" i="1"/>
  <c r="CE50" i="1"/>
  <c r="CE37" i="1"/>
  <c r="CE33" i="1"/>
  <c r="CE32" i="1"/>
  <c r="CE25" i="1"/>
  <c r="CE34" i="1"/>
  <c r="CE20" i="1"/>
  <c r="CE18" i="1"/>
  <c r="CE35" i="1"/>
  <c r="CE27" i="1"/>
  <c r="CE22" i="1"/>
  <c r="CE21" i="1"/>
  <c r="CE8" i="1"/>
  <c r="CE7" i="1"/>
  <c r="CE9" i="1"/>
  <c r="CE23" i="1"/>
  <c r="CE26" i="1"/>
  <c r="CE17" i="1"/>
  <c r="CE16" i="1"/>
  <c r="CE10" i="1"/>
  <c r="CE3" i="1"/>
  <c r="CE36" i="1"/>
  <c r="CE29" i="1"/>
  <c r="CE28" i="1"/>
  <c r="CE15" i="1"/>
  <c r="CF4" i="1"/>
  <c r="CE11" i="1"/>
  <c r="CE13" i="1"/>
  <c r="CE14" i="1"/>
  <c r="CE6" i="1"/>
  <c r="CF53" i="1" l="1"/>
  <c r="CF52" i="1"/>
  <c r="CF42" i="1"/>
  <c r="CF51" i="1"/>
  <c r="CF45" i="1"/>
  <c r="CF50" i="1"/>
  <c r="CF48" i="1"/>
  <c r="CF47" i="1"/>
  <c r="CF46" i="1"/>
  <c r="CF41" i="1"/>
  <c r="CF37" i="1"/>
  <c r="CF33" i="1"/>
  <c r="CF32" i="1"/>
  <c r="CF35" i="1"/>
  <c r="CF34" i="1"/>
  <c r="CF27" i="1"/>
  <c r="CF26" i="1"/>
  <c r="CF40" i="1"/>
  <c r="CF30" i="1"/>
  <c r="CF22" i="1"/>
  <c r="CF21" i="1"/>
  <c r="CF43" i="1"/>
  <c r="CF31" i="1"/>
  <c r="CF23" i="1"/>
  <c r="CF38" i="1"/>
  <c r="CF17" i="1"/>
  <c r="CF16" i="1"/>
  <c r="CF10" i="1"/>
  <c r="CF9" i="1"/>
  <c r="CF3" i="1"/>
  <c r="CF29" i="1"/>
  <c r="CF28" i="1"/>
  <c r="CF18" i="1"/>
  <c r="CF15" i="1"/>
  <c r="CF13" i="1"/>
  <c r="CF11" i="1"/>
  <c r="CG4" i="1"/>
  <c r="CF36" i="1"/>
  <c r="CF14" i="1"/>
  <c r="CF25" i="1"/>
  <c r="CF6" i="1"/>
  <c r="CF20" i="1"/>
  <c r="CF7" i="1"/>
  <c r="CF8" i="1"/>
  <c r="CG52" i="1" l="1"/>
  <c r="CG51" i="1"/>
  <c r="CG53" i="1"/>
  <c r="CG45" i="1"/>
  <c r="CG43" i="1"/>
  <c r="CG50" i="1"/>
  <c r="CG48" i="1"/>
  <c r="CG47" i="1"/>
  <c r="CG37" i="1"/>
  <c r="CG46" i="1"/>
  <c r="CG35" i="1"/>
  <c r="CG34" i="1"/>
  <c r="CG27" i="1"/>
  <c r="CG42" i="1"/>
  <c r="CG41" i="1"/>
  <c r="CG38" i="1"/>
  <c r="CG36" i="1"/>
  <c r="CG29" i="1"/>
  <c r="CG28" i="1"/>
  <c r="CG31" i="1"/>
  <c r="CG23" i="1"/>
  <c r="CG33" i="1"/>
  <c r="CG26" i="1"/>
  <c r="CG25" i="1"/>
  <c r="CG17" i="1"/>
  <c r="CG16" i="1"/>
  <c r="CG13" i="1"/>
  <c r="CG11" i="1"/>
  <c r="CH4" i="1"/>
  <c r="CG20" i="1"/>
  <c r="CG21" i="1"/>
  <c r="CG18" i="1"/>
  <c r="CG15" i="1"/>
  <c r="CG14" i="1"/>
  <c r="CG6" i="1"/>
  <c r="CG40" i="1"/>
  <c r="CG8" i="1"/>
  <c r="CG30" i="1"/>
  <c r="CG22" i="1"/>
  <c r="CG9" i="1"/>
  <c r="CG7" i="1"/>
  <c r="CG3" i="1"/>
  <c r="CG32" i="1"/>
  <c r="CG10" i="1"/>
  <c r="CH50" i="1" l="1"/>
  <c r="CH52" i="1"/>
  <c r="CH53" i="1"/>
  <c r="CH47" i="1"/>
  <c r="CH46" i="1"/>
  <c r="CH51" i="1"/>
  <c r="CH37" i="1"/>
  <c r="CH48" i="1"/>
  <c r="CH40" i="1"/>
  <c r="CH38" i="1"/>
  <c r="CH42" i="1"/>
  <c r="CH41" i="1"/>
  <c r="CH36" i="1"/>
  <c r="CH29" i="1"/>
  <c r="CH28" i="1"/>
  <c r="CH43" i="1"/>
  <c r="CH31" i="1"/>
  <c r="CH30" i="1"/>
  <c r="CH35" i="1"/>
  <c r="CH33" i="1"/>
  <c r="CH27" i="1"/>
  <c r="CH26" i="1"/>
  <c r="CH25" i="1"/>
  <c r="CH17" i="1"/>
  <c r="CH16" i="1"/>
  <c r="CH20" i="1"/>
  <c r="CH18" i="1"/>
  <c r="CH21" i="1"/>
  <c r="CH15" i="1"/>
  <c r="CH14" i="1"/>
  <c r="CH6" i="1"/>
  <c r="CH8" i="1"/>
  <c r="CH7" i="1"/>
  <c r="CH45" i="1"/>
  <c r="CH32" i="1"/>
  <c r="CH23" i="1"/>
  <c r="CH22" i="1"/>
  <c r="CH9" i="1"/>
  <c r="CH3" i="1"/>
  <c r="CH13" i="1"/>
  <c r="CH10" i="1"/>
  <c r="CH34" i="1"/>
  <c r="CI4" i="1"/>
  <c r="CH11" i="1"/>
  <c r="CI52" i="1" l="1"/>
  <c r="CI51" i="1"/>
  <c r="CI53" i="1"/>
  <c r="CI50" i="1"/>
  <c r="CI48" i="1"/>
  <c r="CI46" i="1"/>
  <c r="CI47" i="1"/>
  <c r="CI40" i="1"/>
  <c r="CI38" i="1"/>
  <c r="CI43" i="1"/>
  <c r="CI42" i="1"/>
  <c r="CI41" i="1"/>
  <c r="CI31" i="1"/>
  <c r="CI30" i="1"/>
  <c r="CI45" i="1"/>
  <c r="CI33" i="1"/>
  <c r="CI32" i="1"/>
  <c r="CI25" i="1"/>
  <c r="CI20" i="1"/>
  <c r="CI18" i="1"/>
  <c r="CI36" i="1"/>
  <c r="CI29" i="1"/>
  <c r="CI28" i="1"/>
  <c r="CI22" i="1"/>
  <c r="CI21" i="1"/>
  <c r="CI26" i="1"/>
  <c r="CI23" i="1"/>
  <c r="CI8" i="1"/>
  <c r="CI7" i="1"/>
  <c r="CI3" i="1"/>
  <c r="CI34" i="1"/>
  <c r="CI37" i="1"/>
  <c r="CI35" i="1"/>
  <c r="CI27" i="1"/>
  <c r="CI10" i="1"/>
  <c r="CI9" i="1"/>
  <c r="CI14" i="1"/>
  <c r="CI11" i="1"/>
  <c r="CJ4" i="1"/>
  <c r="CI15" i="1"/>
  <c r="CI16" i="1"/>
  <c r="CI13" i="1"/>
  <c r="CI17" i="1"/>
  <c r="CI6" i="1"/>
  <c r="CJ53" i="1" l="1"/>
  <c r="CJ51" i="1"/>
  <c r="CJ42" i="1"/>
  <c r="CJ50" i="1"/>
  <c r="CJ46" i="1"/>
  <c r="CJ52" i="1"/>
  <c r="CJ45" i="1"/>
  <c r="CJ48" i="1"/>
  <c r="CJ43" i="1"/>
  <c r="CJ41" i="1"/>
  <c r="CJ38" i="1"/>
  <c r="CJ33" i="1"/>
  <c r="CJ32" i="1"/>
  <c r="CJ47" i="1"/>
  <c r="CJ40" i="1"/>
  <c r="CJ35" i="1"/>
  <c r="CJ34" i="1"/>
  <c r="CJ27" i="1"/>
  <c r="CJ26" i="1"/>
  <c r="CJ36" i="1"/>
  <c r="CJ29" i="1"/>
  <c r="CJ28" i="1"/>
  <c r="CJ22" i="1"/>
  <c r="CJ21" i="1"/>
  <c r="CJ23" i="1"/>
  <c r="CJ37" i="1"/>
  <c r="CJ18" i="1"/>
  <c r="CJ10" i="1"/>
  <c r="CJ9" i="1"/>
  <c r="CJ3" i="1"/>
  <c r="CK4" i="1"/>
  <c r="CJ30" i="1"/>
  <c r="CJ17" i="1"/>
  <c r="CJ16" i="1"/>
  <c r="CJ14" i="1"/>
  <c r="CJ31" i="1"/>
  <c r="CJ20" i="1"/>
  <c r="CJ13" i="1"/>
  <c r="CJ11" i="1"/>
  <c r="CJ25" i="1"/>
  <c r="CJ15" i="1"/>
  <c r="CJ7" i="1"/>
  <c r="CJ8" i="1"/>
  <c r="CJ6" i="1"/>
  <c r="CK52" i="1" l="1"/>
  <c r="CK51" i="1"/>
  <c r="CK45" i="1"/>
  <c r="CK43" i="1"/>
  <c r="CK53" i="1"/>
  <c r="CK48" i="1"/>
  <c r="CK47" i="1"/>
  <c r="CK42" i="1"/>
  <c r="CK50" i="1"/>
  <c r="CK37" i="1"/>
  <c r="CK40" i="1"/>
  <c r="CK35" i="1"/>
  <c r="CK34" i="1"/>
  <c r="CK27" i="1"/>
  <c r="CK36" i="1"/>
  <c r="CK29" i="1"/>
  <c r="CK28" i="1"/>
  <c r="CK23" i="1"/>
  <c r="CK46" i="1"/>
  <c r="CK32" i="1"/>
  <c r="CK30" i="1"/>
  <c r="CK17" i="1"/>
  <c r="CK16" i="1"/>
  <c r="CK31" i="1"/>
  <c r="CK20" i="1"/>
  <c r="CK13" i="1"/>
  <c r="CK11" i="1"/>
  <c r="CL4" i="1"/>
  <c r="CK33" i="1"/>
  <c r="CK25" i="1"/>
  <c r="CK22" i="1"/>
  <c r="CK15" i="1"/>
  <c r="CK14" i="1"/>
  <c r="CK6" i="1"/>
  <c r="CK41" i="1"/>
  <c r="CK8" i="1"/>
  <c r="CK26" i="1"/>
  <c r="CK7" i="1"/>
  <c r="CK3" i="1"/>
  <c r="CK38" i="1"/>
  <c r="CK21" i="1"/>
  <c r="CK10" i="1"/>
  <c r="CK18" i="1"/>
  <c r="CK9" i="1"/>
  <c r="CL50" i="1" l="1"/>
  <c r="CL52" i="1"/>
  <c r="CL53" i="1"/>
  <c r="CL47" i="1"/>
  <c r="CL46" i="1"/>
  <c r="CL48" i="1"/>
  <c r="CL45" i="1"/>
  <c r="CL37" i="1"/>
  <c r="CL51" i="1"/>
  <c r="CL40" i="1"/>
  <c r="CL38" i="1"/>
  <c r="CL43" i="1"/>
  <c r="CL36" i="1"/>
  <c r="CL29" i="1"/>
  <c r="CL28" i="1"/>
  <c r="CL31" i="1"/>
  <c r="CL30" i="1"/>
  <c r="CL32" i="1"/>
  <c r="CL17" i="1"/>
  <c r="CL16" i="1"/>
  <c r="CL34" i="1"/>
  <c r="CL26" i="1"/>
  <c r="CL25" i="1"/>
  <c r="CL20" i="1"/>
  <c r="CL18" i="1"/>
  <c r="CL35" i="1"/>
  <c r="CL33" i="1"/>
  <c r="CL27" i="1"/>
  <c r="CL22" i="1"/>
  <c r="CL15" i="1"/>
  <c r="CL14" i="1"/>
  <c r="CL6" i="1"/>
  <c r="CL7" i="1"/>
  <c r="CL41" i="1"/>
  <c r="CL21" i="1"/>
  <c r="CL42" i="1"/>
  <c r="CL8" i="1"/>
  <c r="CL23" i="1"/>
  <c r="CL13" i="1"/>
  <c r="CL10" i="1"/>
  <c r="CL3" i="1"/>
  <c r="CL11" i="1"/>
  <c r="CM4" i="1"/>
  <c r="CL9" i="1"/>
  <c r="CM52" i="1" l="1"/>
  <c r="CM51" i="1"/>
  <c r="CM53" i="1"/>
  <c r="CM48" i="1"/>
  <c r="CM50" i="1"/>
  <c r="CM47" i="1"/>
  <c r="CM40" i="1"/>
  <c r="CM38" i="1"/>
  <c r="CM46" i="1"/>
  <c r="CM45" i="1"/>
  <c r="CM41" i="1"/>
  <c r="CM31" i="1"/>
  <c r="CM30" i="1"/>
  <c r="CM37" i="1"/>
  <c r="CM33" i="1"/>
  <c r="CM32" i="1"/>
  <c r="CM25" i="1"/>
  <c r="CM43" i="1"/>
  <c r="CM34" i="1"/>
  <c r="CM26" i="1"/>
  <c r="CM20" i="1"/>
  <c r="CM18" i="1"/>
  <c r="CM35" i="1"/>
  <c r="CM27" i="1"/>
  <c r="CM22" i="1"/>
  <c r="CM21" i="1"/>
  <c r="CM42" i="1"/>
  <c r="CM8" i="1"/>
  <c r="CM7" i="1"/>
  <c r="CM9" i="1"/>
  <c r="CM3" i="1"/>
  <c r="CM23" i="1"/>
  <c r="CM36" i="1"/>
  <c r="CM29" i="1"/>
  <c r="CM28" i="1"/>
  <c r="CM17" i="1"/>
  <c r="CM16" i="1"/>
  <c r="CM10" i="1"/>
  <c r="CN4" i="1"/>
  <c r="CM15" i="1"/>
  <c r="CM11" i="1"/>
  <c r="CM14" i="1"/>
  <c r="CM6" i="1"/>
  <c r="CM13" i="1"/>
  <c r="CN53" i="1" l="1"/>
  <c r="CN50" i="1"/>
  <c r="CN42" i="1"/>
  <c r="CN52" i="1"/>
  <c r="CN46" i="1"/>
  <c r="CN51" i="1"/>
  <c r="CN45" i="1"/>
  <c r="CN41" i="1"/>
  <c r="CN43" i="1"/>
  <c r="CN47" i="1"/>
  <c r="CN37" i="1"/>
  <c r="CN33" i="1"/>
  <c r="CN32" i="1"/>
  <c r="CN35" i="1"/>
  <c r="CN34" i="1"/>
  <c r="CN27" i="1"/>
  <c r="CN26" i="1"/>
  <c r="CN48" i="1"/>
  <c r="CN30" i="1"/>
  <c r="CN25" i="1"/>
  <c r="CN22" i="1"/>
  <c r="CN21" i="1"/>
  <c r="CN38" i="1"/>
  <c r="CN31" i="1"/>
  <c r="CN23" i="1"/>
  <c r="CN36" i="1"/>
  <c r="CN29" i="1"/>
  <c r="CN28" i="1"/>
  <c r="CN17" i="1"/>
  <c r="CN16" i="1"/>
  <c r="CN10" i="1"/>
  <c r="CN9" i="1"/>
  <c r="CN3" i="1"/>
  <c r="CN40" i="1"/>
  <c r="CN15" i="1"/>
  <c r="CN13" i="1"/>
  <c r="CN11" i="1"/>
  <c r="CO4" i="1"/>
  <c r="CN18" i="1"/>
  <c r="CN14" i="1"/>
  <c r="CN6" i="1"/>
  <c r="CN8" i="1"/>
  <c r="CN20" i="1"/>
  <c r="CN7" i="1"/>
  <c r="CO52" i="1" l="1"/>
  <c r="CO51" i="1"/>
  <c r="CO45" i="1"/>
  <c r="CO43" i="1"/>
  <c r="CO53" i="1"/>
  <c r="CO46" i="1"/>
  <c r="CO50" i="1"/>
  <c r="CO47" i="1"/>
  <c r="CO42" i="1"/>
  <c r="CO37" i="1"/>
  <c r="CO35" i="1"/>
  <c r="CO34" i="1"/>
  <c r="CO27" i="1"/>
  <c r="CO48" i="1"/>
  <c r="CO41" i="1"/>
  <c r="CO38" i="1"/>
  <c r="CO36" i="1"/>
  <c r="CO29" i="1"/>
  <c r="CO28" i="1"/>
  <c r="CO31" i="1"/>
  <c r="CO23" i="1"/>
  <c r="CO40" i="1"/>
  <c r="CO33" i="1"/>
  <c r="CO17" i="1"/>
  <c r="CO16" i="1"/>
  <c r="CO25" i="1"/>
  <c r="CO13" i="1"/>
  <c r="CO11" i="1"/>
  <c r="CP4" i="1"/>
  <c r="CO26" i="1"/>
  <c r="CO32" i="1"/>
  <c r="CO30" i="1"/>
  <c r="CO21" i="1"/>
  <c r="CO18" i="1"/>
  <c r="CO15" i="1"/>
  <c r="CO14" i="1"/>
  <c r="CO6" i="1"/>
  <c r="CO20" i="1"/>
  <c r="CO22" i="1"/>
  <c r="CO9" i="1"/>
  <c r="CO7" i="1"/>
  <c r="CO3" i="1"/>
  <c r="CO8" i="1"/>
  <c r="CO10" i="1"/>
  <c r="CP50" i="1" l="1"/>
  <c r="CP52" i="1"/>
  <c r="CP53" i="1"/>
  <c r="CP47" i="1"/>
  <c r="CP46" i="1"/>
  <c r="CP51" i="1"/>
  <c r="CP48" i="1"/>
  <c r="CP45" i="1"/>
  <c r="CP43" i="1"/>
  <c r="CP42" i="1"/>
  <c r="CP37" i="1"/>
  <c r="CP40" i="1"/>
  <c r="CP38" i="1"/>
  <c r="CP41" i="1"/>
  <c r="CP36" i="1"/>
  <c r="CP29" i="1"/>
  <c r="CP28" i="1"/>
  <c r="CP31" i="1"/>
  <c r="CP30" i="1"/>
  <c r="CP35" i="1"/>
  <c r="CP33" i="1"/>
  <c r="CP27" i="1"/>
  <c r="CP17" i="1"/>
  <c r="CP16" i="1"/>
  <c r="CP20" i="1"/>
  <c r="CP18" i="1"/>
  <c r="CP32" i="1"/>
  <c r="CP21" i="1"/>
  <c r="CP15" i="1"/>
  <c r="CP14" i="1"/>
  <c r="CP6" i="1"/>
  <c r="CP8" i="1"/>
  <c r="CP7" i="1"/>
  <c r="CP22" i="1"/>
  <c r="CP34" i="1"/>
  <c r="CP26" i="1"/>
  <c r="CP23" i="1"/>
  <c r="CP9" i="1"/>
  <c r="CP3" i="1"/>
  <c r="CP25" i="1"/>
  <c r="CP11" i="1"/>
  <c r="CP13" i="1"/>
  <c r="CP10" i="1"/>
  <c r="CQ4" i="1"/>
  <c r="CQ52" i="1" l="1"/>
  <c r="CQ51" i="1"/>
  <c r="CQ53" i="1"/>
  <c r="CQ48" i="1"/>
  <c r="CQ45" i="1"/>
  <c r="CQ50" i="1"/>
  <c r="CQ47" i="1"/>
  <c r="CQ46" i="1"/>
  <c r="CQ40" i="1"/>
  <c r="CQ38" i="1"/>
  <c r="CQ41" i="1"/>
  <c r="CQ31" i="1"/>
  <c r="CQ30" i="1"/>
  <c r="CQ42" i="1"/>
  <c r="CQ33" i="1"/>
  <c r="CQ32" i="1"/>
  <c r="CQ25" i="1"/>
  <c r="CQ20" i="1"/>
  <c r="CQ18" i="1"/>
  <c r="CQ37" i="1"/>
  <c r="CQ36" i="1"/>
  <c r="CQ29" i="1"/>
  <c r="CQ28" i="1"/>
  <c r="CQ26" i="1"/>
  <c r="CQ22" i="1"/>
  <c r="CQ21" i="1"/>
  <c r="CQ34" i="1"/>
  <c r="CQ23" i="1"/>
  <c r="CQ8" i="1"/>
  <c r="CQ7" i="1"/>
  <c r="CQ3" i="1"/>
  <c r="CQ10" i="1"/>
  <c r="CQ9" i="1"/>
  <c r="CQ16" i="1"/>
  <c r="CQ11" i="1"/>
  <c r="CQ27" i="1"/>
  <c r="CQ14" i="1"/>
  <c r="CQ6" i="1"/>
  <c r="CQ43" i="1"/>
  <c r="CQ15" i="1"/>
  <c r="CQ13" i="1"/>
  <c r="CQ35" i="1"/>
  <c r="CQ17" i="1"/>
  <c r="CR4" i="1"/>
  <c r="CR53" i="1" l="1"/>
  <c r="CR50" i="1"/>
  <c r="CR51" i="1"/>
  <c r="CR42" i="1"/>
  <c r="CR52" i="1"/>
  <c r="CR48" i="1"/>
  <c r="CR47" i="1"/>
  <c r="CR41" i="1"/>
  <c r="CR45" i="1"/>
  <c r="CR38" i="1"/>
  <c r="CR33" i="1"/>
  <c r="CR32" i="1"/>
  <c r="CR43" i="1"/>
  <c r="CR40" i="1"/>
  <c r="CR35" i="1"/>
  <c r="CR34" i="1"/>
  <c r="CR27" i="1"/>
  <c r="CR26" i="1"/>
  <c r="CR46" i="1"/>
  <c r="CR37" i="1"/>
  <c r="CR36" i="1"/>
  <c r="CR29" i="1"/>
  <c r="CR28" i="1"/>
  <c r="CR22" i="1"/>
  <c r="CR21" i="1"/>
  <c r="CR25" i="1"/>
  <c r="CR23" i="1"/>
  <c r="CR30" i="1"/>
  <c r="CR18" i="1"/>
  <c r="CR10" i="1"/>
  <c r="CR9" i="1"/>
  <c r="CR3" i="1"/>
  <c r="CS4" i="1"/>
  <c r="CR16" i="1"/>
  <c r="CR15" i="1"/>
  <c r="CR14" i="1"/>
  <c r="CR20" i="1"/>
  <c r="CR13" i="1"/>
  <c r="CR11" i="1"/>
  <c r="CR17" i="1"/>
  <c r="CR31" i="1"/>
  <c r="CR7" i="1"/>
  <c r="CR6" i="1"/>
  <c r="CR8" i="1"/>
  <c r="CS52" i="1" l="1"/>
  <c r="CS51" i="1"/>
  <c r="CS45" i="1"/>
  <c r="CS43" i="1"/>
  <c r="CS53" i="1"/>
  <c r="CS50" i="1"/>
  <c r="CS46" i="1"/>
  <c r="CS47" i="1"/>
  <c r="CS48" i="1"/>
  <c r="CS37" i="1"/>
  <c r="CS42" i="1"/>
  <c r="CS40" i="1"/>
  <c r="CS35" i="1"/>
  <c r="CS34" i="1"/>
  <c r="CS27" i="1"/>
  <c r="CS36" i="1"/>
  <c r="CS29" i="1"/>
  <c r="CS28" i="1"/>
  <c r="CS38" i="1"/>
  <c r="CS26" i="1"/>
  <c r="CS25" i="1"/>
  <c r="CS23" i="1"/>
  <c r="CS41" i="1"/>
  <c r="CS32" i="1"/>
  <c r="CS30" i="1"/>
  <c r="CS17" i="1"/>
  <c r="CS16" i="1"/>
  <c r="CS20" i="1"/>
  <c r="CS13" i="1"/>
  <c r="CS11" i="1"/>
  <c r="CT4" i="1"/>
  <c r="CS31" i="1"/>
  <c r="CS22" i="1"/>
  <c r="CS15" i="1"/>
  <c r="CS14" i="1"/>
  <c r="CS6" i="1"/>
  <c r="CS21" i="1"/>
  <c r="CS8" i="1"/>
  <c r="CS7" i="1"/>
  <c r="CS3" i="1"/>
  <c r="CS33" i="1"/>
  <c r="CS18" i="1"/>
  <c r="CS10" i="1"/>
  <c r="CS2" i="1"/>
  <c r="CS9" i="1"/>
  <c r="CT50" i="1" l="1"/>
  <c r="CT52" i="1"/>
  <c r="CT53" i="1"/>
  <c r="CT47" i="1"/>
  <c r="CT46" i="1"/>
  <c r="CT51" i="1"/>
  <c r="CT48" i="1"/>
  <c r="CT37" i="1"/>
  <c r="CT43" i="1"/>
  <c r="CT42" i="1"/>
  <c r="CT40" i="1"/>
  <c r="CT38" i="1"/>
  <c r="CT36" i="1"/>
  <c r="CT29" i="1"/>
  <c r="CT28" i="1"/>
  <c r="CT31" i="1"/>
  <c r="CT30" i="1"/>
  <c r="CT41" i="1"/>
  <c r="CT32" i="1"/>
  <c r="CT17" i="1"/>
  <c r="CT16" i="1"/>
  <c r="CT45" i="1"/>
  <c r="CT34" i="1"/>
  <c r="CT20" i="1"/>
  <c r="CT18" i="1"/>
  <c r="CT26" i="1"/>
  <c r="CT22" i="1"/>
  <c r="CT15" i="1"/>
  <c r="CT14" i="1"/>
  <c r="CT6" i="1"/>
  <c r="CT8" i="1"/>
  <c r="CT7" i="1"/>
  <c r="CT35" i="1"/>
  <c r="CT27" i="1"/>
  <c r="CT25" i="1"/>
  <c r="CT21" i="1"/>
  <c r="CT33" i="1"/>
  <c r="CT13" i="1"/>
  <c r="CT10" i="1"/>
  <c r="CT23" i="1"/>
  <c r="CU4" i="1"/>
  <c r="CT9" i="1"/>
  <c r="CT3" i="1"/>
  <c r="CT11" i="1"/>
  <c r="CU52" i="1" l="1"/>
  <c r="CU51" i="1"/>
  <c r="CU53" i="1"/>
  <c r="CU50" i="1"/>
  <c r="CU48" i="1"/>
  <c r="CU46" i="1"/>
  <c r="CU45" i="1"/>
  <c r="CU43" i="1"/>
  <c r="CU42" i="1"/>
  <c r="CU40" i="1"/>
  <c r="CU38" i="1"/>
  <c r="CU41" i="1"/>
  <c r="CU31" i="1"/>
  <c r="CU30" i="1"/>
  <c r="CU37" i="1"/>
  <c r="CU33" i="1"/>
  <c r="CU32" i="1"/>
  <c r="CU25" i="1"/>
  <c r="CU34" i="1"/>
  <c r="CU20" i="1"/>
  <c r="CU18" i="1"/>
  <c r="CU35" i="1"/>
  <c r="CU27" i="1"/>
  <c r="CU22" i="1"/>
  <c r="CU21" i="1"/>
  <c r="CU8" i="1"/>
  <c r="CU7" i="1"/>
  <c r="CU9" i="1"/>
  <c r="CU23" i="1"/>
  <c r="CU17" i="1"/>
  <c r="CU16" i="1"/>
  <c r="CU10" i="1"/>
  <c r="CU3" i="1"/>
  <c r="CU47" i="1"/>
  <c r="CU15" i="1"/>
  <c r="CV4" i="1"/>
  <c r="CU26" i="1"/>
  <c r="CU11" i="1"/>
  <c r="CU36" i="1"/>
  <c r="CU29" i="1"/>
  <c r="CU28" i="1"/>
  <c r="CU13" i="1"/>
  <c r="CU14" i="1"/>
  <c r="CU6" i="1"/>
  <c r="CV53" i="1" l="1"/>
  <c r="CV50" i="1"/>
  <c r="CV52" i="1"/>
  <c r="CV42" i="1"/>
  <c r="CV51" i="1"/>
  <c r="CV45" i="1"/>
  <c r="CV48" i="1"/>
  <c r="CV47" i="1"/>
  <c r="CV41" i="1"/>
  <c r="CV43" i="1"/>
  <c r="CV37" i="1"/>
  <c r="CV33" i="1"/>
  <c r="CV32" i="1"/>
  <c r="CV46" i="1"/>
  <c r="CV35" i="1"/>
  <c r="CV34" i="1"/>
  <c r="CV27" i="1"/>
  <c r="CV26" i="1"/>
  <c r="CV40" i="1"/>
  <c r="CV30" i="1"/>
  <c r="CV22" i="1"/>
  <c r="CV21" i="1"/>
  <c r="CV31" i="1"/>
  <c r="CV23" i="1"/>
  <c r="CV17" i="1"/>
  <c r="CV16" i="1"/>
  <c r="CV10" i="1"/>
  <c r="CV9" i="1"/>
  <c r="CV3" i="1"/>
  <c r="CV38" i="1"/>
  <c r="CV36" i="1"/>
  <c r="CV18" i="1"/>
  <c r="CV14" i="1"/>
  <c r="CV25" i="1"/>
  <c r="CV13" i="1"/>
  <c r="CV11" i="1"/>
  <c r="CW4" i="1"/>
  <c r="CV29" i="1"/>
  <c r="CV28" i="1"/>
  <c r="CV15" i="1"/>
  <c r="CV20" i="1"/>
  <c r="CV6" i="1"/>
  <c r="CV7" i="1"/>
  <c r="CV8" i="1"/>
  <c r="CW52" i="1" l="1"/>
  <c r="CW51" i="1"/>
  <c r="CW53" i="1"/>
  <c r="CW45" i="1"/>
  <c r="CW43" i="1"/>
  <c r="CW50" i="1"/>
  <c r="CW48" i="1"/>
  <c r="CW47" i="1"/>
  <c r="CW46" i="1"/>
  <c r="CW37" i="1"/>
  <c r="CW35" i="1"/>
  <c r="CW34" i="1"/>
  <c r="CW27" i="1"/>
  <c r="CW41" i="1"/>
  <c r="CW38" i="1"/>
  <c r="CW36" i="1"/>
  <c r="CW29" i="1"/>
  <c r="CW28" i="1"/>
  <c r="CW31" i="1"/>
  <c r="CW23" i="1"/>
  <c r="CW42" i="1"/>
  <c r="CW33" i="1"/>
  <c r="CW26" i="1"/>
  <c r="CW25" i="1"/>
  <c r="CW17" i="1"/>
  <c r="CW16" i="1"/>
  <c r="CW13" i="1"/>
  <c r="CW11" i="1"/>
  <c r="CX4" i="1"/>
  <c r="CW20" i="1"/>
  <c r="CW40" i="1"/>
  <c r="CW21" i="1"/>
  <c r="CW18" i="1"/>
  <c r="CW15" i="1"/>
  <c r="CW14" i="1"/>
  <c r="CW6" i="1"/>
  <c r="CW30" i="1"/>
  <c r="CW22" i="1"/>
  <c r="CW10" i="1"/>
  <c r="CW32" i="1"/>
  <c r="CW9" i="1"/>
  <c r="CW7" i="1"/>
  <c r="CW3" i="1"/>
  <c r="CW8" i="1"/>
  <c r="CX50" i="1" l="1"/>
  <c r="CX52" i="1"/>
  <c r="CX53" i="1"/>
  <c r="CX47" i="1"/>
  <c r="CX46" i="1"/>
  <c r="CX51" i="1"/>
  <c r="CX37" i="1"/>
  <c r="CX45" i="1"/>
  <c r="CX40" i="1"/>
  <c r="CX38" i="1"/>
  <c r="CX48" i="1"/>
  <c r="CX41" i="1"/>
  <c r="CX36" i="1"/>
  <c r="CX29" i="1"/>
  <c r="CX28" i="1"/>
  <c r="CX31" i="1"/>
  <c r="CX30" i="1"/>
  <c r="CX42" i="1"/>
  <c r="CX35" i="1"/>
  <c r="CX33" i="1"/>
  <c r="CX27" i="1"/>
  <c r="CX26" i="1"/>
  <c r="CX25" i="1"/>
  <c r="CX17" i="1"/>
  <c r="CX16" i="1"/>
  <c r="CX20" i="1"/>
  <c r="CX18" i="1"/>
  <c r="CX21" i="1"/>
  <c r="CX15" i="1"/>
  <c r="CX14" i="1"/>
  <c r="CX6" i="1"/>
  <c r="CX7" i="1"/>
  <c r="CX43" i="1"/>
  <c r="CX32" i="1"/>
  <c r="CX22" i="1"/>
  <c r="CX23" i="1"/>
  <c r="CX8" i="1"/>
  <c r="CX9" i="1"/>
  <c r="CX3" i="1"/>
  <c r="CX13" i="1"/>
  <c r="CX10" i="1"/>
  <c r="CX11" i="1"/>
  <c r="CX34" i="1"/>
  <c r="CY4" i="1"/>
  <c r="CY52" i="1" l="1"/>
  <c r="CY51" i="1"/>
  <c r="CY53" i="1"/>
  <c r="CY48" i="1"/>
  <c r="CY46" i="1"/>
  <c r="CY45" i="1"/>
  <c r="CY40" i="1"/>
  <c r="CY38" i="1"/>
  <c r="CY43" i="1"/>
  <c r="CY42" i="1"/>
  <c r="CY41" i="1"/>
  <c r="CY50" i="1"/>
  <c r="CY31" i="1"/>
  <c r="CY30" i="1"/>
  <c r="CY33" i="1"/>
  <c r="CY32" i="1"/>
  <c r="CY25" i="1"/>
  <c r="CY20" i="1"/>
  <c r="CY18" i="1"/>
  <c r="CY47" i="1"/>
  <c r="CY36" i="1"/>
  <c r="CY29" i="1"/>
  <c r="CY28" i="1"/>
  <c r="CY22" i="1"/>
  <c r="CY21" i="1"/>
  <c r="CY23" i="1"/>
  <c r="CY8" i="1"/>
  <c r="CY7" i="1"/>
  <c r="CY3" i="1"/>
  <c r="CY34" i="1"/>
  <c r="CY35" i="1"/>
  <c r="CY27" i="1"/>
  <c r="CY10" i="1"/>
  <c r="CY9" i="1"/>
  <c r="CY26" i="1"/>
  <c r="CY14" i="1"/>
  <c r="CY11" i="1"/>
  <c r="CZ4" i="1"/>
  <c r="CY37" i="1"/>
  <c r="CY17" i="1"/>
  <c r="CY13" i="1"/>
  <c r="CY16" i="1"/>
  <c r="CY15" i="1"/>
  <c r="CY6" i="1"/>
  <c r="CZ53" i="1" l="1"/>
  <c r="CZ50" i="1"/>
  <c r="CZ51" i="1"/>
  <c r="CZ42" i="1"/>
  <c r="CZ46" i="1"/>
  <c r="CZ45" i="1"/>
  <c r="CZ43" i="1"/>
  <c r="CZ41" i="1"/>
  <c r="CZ52" i="1"/>
  <c r="CZ47" i="1"/>
  <c r="CZ38" i="1"/>
  <c r="CZ33" i="1"/>
  <c r="CZ32" i="1"/>
  <c r="CZ40" i="1"/>
  <c r="CZ35" i="1"/>
  <c r="CZ34" i="1"/>
  <c r="CZ27" i="1"/>
  <c r="CZ26" i="1"/>
  <c r="CZ36" i="1"/>
  <c r="CZ29" i="1"/>
  <c r="CZ28" i="1"/>
  <c r="CZ22" i="1"/>
  <c r="CZ21" i="1"/>
  <c r="CZ23" i="1"/>
  <c r="CZ25" i="1"/>
  <c r="CZ18" i="1"/>
  <c r="CZ10" i="1"/>
  <c r="CZ9" i="1"/>
  <c r="CZ3" i="1"/>
  <c r="CZ17" i="1"/>
  <c r="CZ16" i="1"/>
  <c r="CZ15" i="1"/>
  <c r="CZ48" i="1"/>
  <c r="CZ31" i="1"/>
  <c r="CZ20" i="1"/>
  <c r="CZ13" i="1"/>
  <c r="CZ11" i="1"/>
  <c r="CZ37" i="1"/>
  <c r="CZ30" i="1"/>
  <c r="CZ14" i="1"/>
  <c r="CZ7" i="1"/>
  <c r="CZ8" i="1"/>
  <c r="CZ6" i="1"/>
</calcChain>
</file>

<file path=xl/sharedStrings.xml><?xml version="1.0" encoding="utf-8"?>
<sst xmlns="http://schemas.openxmlformats.org/spreadsheetml/2006/main" count="189" uniqueCount="119">
  <si>
    <t>Final Year Project Portal WBS</t>
  </si>
  <si>
    <t>ID</t>
  </si>
  <si>
    <t>Predecessors</t>
  </si>
  <si>
    <t>Phase</t>
  </si>
  <si>
    <t>Activity Name</t>
  </si>
  <si>
    <t>Description</t>
  </si>
  <si>
    <t>Responsibilities</t>
  </si>
  <si>
    <t>Start Week</t>
  </si>
  <si>
    <t>End Week</t>
  </si>
  <si>
    <t>Duration</t>
  </si>
  <si>
    <t>Plan Start</t>
  </si>
  <si>
    <t>Plan End</t>
  </si>
  <si>
    <t>Actual Start</t>
  </si>
  <si>
    <t>Actual End</t>
  </si>
  <si>
    <t>Phase 1: Project Initiation</t>
  </si>
  <si>
    <t>1.1</t>
  </si>
  <si>
    <t>-</t>
  </si>
  <si>
    <t>Initiation</t>
  </si>
  <si>
    <t>Project Idea Selection</t>
  </si>
  <si>
    <t>Choose project topic and list its goals</t>
  </si>
  <si>
    <t>Project Manager</t>
  </si>
  <si>
    <t>Week 1</t>
  </si>
  <si>
    <t>1.2</t>
  </si>
  <si>
    <t>Project Proposal Preparation</t>
  </si>
  <si>
    <t>Write a short proposal with scope and objectives</t>
  </si>
  <si>
    <t>All Members</t>
  </si>
  <si>
    <t>1.3</t>
  </si>
  <si>
    <t>Project Charter Development</t>
  </si>
  <si>
    <t>Make a charter with timeline and team roles</t>
  </si>
  <si>
    <t>Week 2</t>
  </si>
  <si>
    <t>Phase 2: Requirements and Planning</t>
  </si>
  <si>
    <t>2.1</t>
  </si>
  <si>
    <t>Planning</t>
  </si>
  <si>
    <t>Requirements Gathering</t>
  </si>
  <si>
    <t>List what the system must do</t>
  </si>
  <si>
    <t>2.2</t>
  </si>
  <si>
    <t>System Analysis &amp; Risk Identification</t>
  </si>
  <si>
    <t>Check requirements and find possible risks</t>
  </si>
  <si>
    <t>Team Lead</t>
  </si>
  <si>
    <t>Week 3</t>
  </si>
  <si>
    <t>2.3</t>
  </si>
  <si>
    <t>Budget &amp; Resource Planning</t>
  </si>
  <si>
    <t>Set budget and assign tasks to team members</t>
  </si>
  <si>
    <t>Phase 3: System Design</t>
  </si>
  <si>
    <t>3.1</t>
  </si>
  <si>
    <t>2.2, 2.3</t>
  </si>
  <si>
    <t>Design</t>
  </si>
  <si>
    <t>UI/UX Design</t>
  </si>
  <si>
    <t>Design screens for students, supervisors and committee</t>
  </si>
  <si>
    <t>UI/UX Designer</t>
  </si>
  <si>
    <t>Week 4</t>
  </si>
  <si>
    <t>3.2</t>
  </si>
  <si>
    <t>Database &amp; Architecture Design</t>
  </si>
  <si>
    <t>Plan database tables and system structure</t>
  </si>
  <si>
    <t>Backend Developer</t>
  </si>
  <si>
    <t>Phase 4: Development</t>
  </si>
  <si>
    <t>4.1</t>
  </si>
  <si>
    <t>3.1, 3.2</t>
  </si>
  <si>
    <t>Development</t>
  </si>
  <si>
    <t>Login &amp; Authentication Module</t>
  </si>
  <si>
    <t>Build login and signup for all users</t>
  </si>
  <si>
    <t>Frontend Developer</t>
  </si>
  <si>
    <t>Week 5</t>
  </si>
  <si>
    <t>4.2</t>
  </si>
  <si>
    <t>Supervisor Search Module</t>
  </si>
  <si>
    <t>Let students search and filter supervisors</t>
  </si>
  <si>
    <t>Full Stack Developer</t>
  </si>
  <si>
    <t>Week 6</t>
  </si>
  <si>
    <t>4.3</t>
  </si>
  <si>
    <t>Proposal Submission &amp; Approval</t>
  </si>
  <si>
    <t>Allow students to submit proposals online</t>
  </si>
  <si>
    <t>Week 7</t>
  </si>
  <si>
    <t>4.4</t>
  </si>
  <si>
    <t>Weekly Progress Reports Module</t>
  </si>
  <si>
    <t>Students upload reports and get supervisor feedback</t>
  </si>
  <si>
    <t>Week 8</t>
  </si>
  <si>
    <t>4.5</t>
  </si>
  <si>
    <t>Meeting Scheduling Module</t>
  </si>
  <si>
    <t>Students can book meetings with supervisors</t>
  </si>
  <si>
    <t>4.6</t>
  </si>
  <si>
    <t>4.4, 4.5</t>
  </si>
  <si>
    <t>Deadline Reminder &amp; Notification</t>
  </si>
  <si>
    <t>Send automatic reminders for deadlines</t>
  </si>
  <si>
    <t>Week 9</t>
  </si>
  <si>
    <t>4.7</t>
  </si>
  <si>
    <t>FYP Committee Dashboard</t>
  </si>
  <si>
    <t>Committee can manage groups and generate reports</t>
  </si>
  <si>
    <t>Week 10</t>
  </si>
  <si>
    <t>Phase 5: Testing and QA</t>
  </si>
  <si>
    <t>5.1</t>
  </si>
  <si>
    <t>Testing</t>
  </si>
  <si>
    <t>Unit &amp; Integration Testing</t>
  </si>
  <si>
    <t>Test each module and check how they work together</t>
  </si>
  <si>
    <t>QA Engineer</t>
  </si>
  <si>
    <t>5.2</t>
  </si>
  <si>
    <t>User Acceptance &amp; Security Testing</t>
  </si>
  <si>
    <t>Test with real users and check for security issues</t>
  </si>
  <si>
    <t>QA + Project Manager</t>
  </si>
  <si>
    <t>Week 11</t>
  </si>
  <si>
    <t>Phase 6: Deployment</t>
  </si>
  <si>
    <t>6.1</t>
  </si>
  <si>
    <t>Deployment</t>
  </si>
  <si>
    <t>Server Setup &amp; Web Deployment</t>
  </si>
  <si>
    <t>Set up server and launch the portal online</t>
  </si>
  <si>
    <t>DevOps / Developer</t>
  </si>
  <si>
    <t>Week 12</t>
  </si>
  <si>
    <t>6.2</t>
  </si>
  <si>
    <t>User Training</t>
  </si>
  <si>
    <t>Teach users how to use the system</t>
  </si>
  <si>
    <t>Phase 7: Project Closure</t>
  </si>
  <si>
    <t>7.1</t>
  </si>
  <si>
    <t>6.1, 6.2</t>
  </si>
  <si>
    <t>Closure</t>
  </si>
  <si>
    <t>Documentation Submission</t>
  </si>
  <si>
    <t>Collect and submit all project documents</t>
  </si>
  <si>
    <t>Week 13</t>
  </si>
  <si>
    <t>7.2</t>
  </si>
  <si>
    <t>Final Project Review &amp; Sign-off</t>
  </si>
  <si>
    <t>Do final meeting and get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</si>
</sst>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dd\-mmm\-yy"/>
  </numFmts>
  <fonts count="11" x14ac:knownFonts="1">
    <font>
      <sz val="11"/>
      <color theme="1"/>
      <name val="Calibri"/>
      <family val="2"/>
      <charset val="1"/>
    </font>
    <font>
      <b/>
      <sz val="14"/>
      <name val="Calibri"/>
      <family val="2"/>
      <charset val="1"/>
    </font>
    <font>
      <b/>
      <sz val="8"/>
      <name val="Cambria"/>
      <charset val="1"/>
    </font>
    <font>
      <b/>
      <sz val="9"/>
      <name val="Cambria"/>
      <charset val="1"/>
    </font>
    <font>
      <b/>
      <sz val="10"/>
      <name val="Calibri"/>
      <family val="2"/>
      <charset val="1"/>
    </font>
    <font>
      <b/>
      <sz val="10"/>
      <name val="Calibri"/>
      <charset val="1"/>
    </font>
    <font>
      <sz val="8"/>
      <name val="Calibri"/>
      <charset val="1"/>
    </font>
    <font>
      <sz val="7"/>
      <name val="Calibri"/>
      <charset val="1"/>
    </font>
    <font>
      <sz val="10"/>
      <name val="Calibri"/>
      <family val="2"/>
      <charset val="1"/>
    </font>
    <font>
      <b/>
      <i/>
      <sz val="7"/>
      <color rgb="FFC0504D"/>
      <name val="Calibri"/>
      <charset val="1"/>
    </font>
    <font>
      <sz val="7"/>
      <color rgb="FFC0504D"/>
      <name val="Calibri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0" borderId="1" xfId="0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165" fontId="10" fillId="0" borderId="0" xfId="0" applyNumberFormat="1" applyFon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22"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C0504D"/>
      </font>
      <fill>
        <patternFill>
          <bgColor theme="5"/>
        </patternFill>
      </fill>
    </dxf>
    <dxf>
      <font>
        <color rgb="FF4F81BD"/>
      </font>
      <fill>
        <patternFill>
          <bgColor theme="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53"/>
  <sheetViews>
    <sheetView tabSelected="1" topLeftCell="H1" zoomScaleNormal="100" workbookViewId="0">
      <pane ySplit="4" topLeftCell="A5" activePane="bottomLeft" state="frozen"/>
      <selection pane="bottomLeft" activeCell="N4" sqref="N4"/>
    </sheetView>
  </sheetViews>
  <sheetFormatPr defaultColWidth="8.6640625" defaultRowHeight="14.4" x14ac:dyDescent="0.3"/>
  <cols>
    <col min="1" max="1" width="3.44140625" customWidth="1"/>
    <col min="2" max="2" width="11.44140625" customWidth="1"/>
    <col min="3" max="3" width="11.33203125" customWidth="1"/>
    <col min="4" max="4" width="30" customWidth="1"/>
    <col min="5" max="5" width="45.109375" customWidth="1"/>
    <col min="6" max="6" width="18.109375" customWidth="1"/>
    <col min="7" max="7" width="9.77734375" customWidth="1"/>
    <col min="8" max="8" width="8.88671875" customWidth="1"/>
    <col min="9" max="9" width="7.88671875" customWidth="1"/>
    <col min="10" max="11" width="9.21875" customWidth="1"/>
    <col min="12" max="12" width="10.109375" customWidth="1"/>
    <col min="13" max="13" width="9.6640625" customWidth="1"/>
    <col min="14" max="104" width="4" customWidth="1"/>
  </cols>
  <sheetData>
    <row r="1" spans="1:104" ht="21.7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  <c r="M1" s="8" t="str">
        <f>"Week -  "&amp;TEXT(N4,"DD-MMM")</f>
        <v>Week -  08-Sep</v>
      </c>
      <c r="N1" s="8"/>
      <c r="O1" s="8"/>
      <c r="P1" s="8"/>
      <c r="Q1" s="8"/>
      <c r="R1" s="8"/>
      <c r="S1" s="8"/>
      <c r="T1" s="7" t="str">
        <f>"Week "&amp;TEXT(T4,"DD-MMM")</f>
        <v>Week 14-Sep</v>
      </c>
      <c r="U1" s="7"/>
      <c r="V1" s="7"/>
      <c r="W1" s="7"/>
      <c r="X1" s="7"/>
      <c r="Y1" s="7"/>
      <c r="Z1" s="7"/>
      <c r="AA1" s="7" t="str">
        <f>"Week "&amp;TEXT(AA4,"DD-MMM")</f>
        <v>Week 21-Sep</v>
      </c>
      <c r="AB1" s="7"/>
      <c r="AC1" s="7"/>
      <c r="AD1" s="7"/>
      <c r="AE1" s="7"/>
      <c r="AF1" s="7"/>
      <c r="AG1" s="7"/>
      <c r="AH1" s="7" t="str">
        <f>"Week "&amp;TEXT(AH4,"DD-MMM")</f>
        <v>Week 28-Sep</v>
      </c>
      <c r="AI1" s="7"/>
      <c r="AJ1" s="7"/>
      <c r="AK1" s="7"/>
      <c r="AL1" s="7"/>
      <c r="AM1" s="7"/>
      <c r="AN1" s="7"/>
      <c r="AO1" s="7" t="str">
        <f>"Week "&amp;TEXT(AO4,"DD-MMM")</f>
        <v>Week 05-Oct</v>
      </c>
      <c r="AP1" s="7"/>
      <c r="AQ1" s="7"/>
      <c r="AR1" s="7"/>
      <c r="AS1" s="7"/>
      <c r="AT1" s="7"/>
      <c r="AU1" s="7"/>
      <c r="AV1" s="7" t="str">
        <f>"Week "&amp;TEXT(AV4,"DD-MMM")</f>
        <v>Week 12-Oct</v>
      </c>
      <c r="AW1" s="7"/>
      <c r="AX1" s="7"/>
      <c r="AY1" s="7"/>
      <c r="AZ1" s="7"/>
      <c r="BA1" s="7"/>
      <c r="BB1" s="7"/>
      <c r="BC1" s="7" t="str">
        <f>"Week "&amp;TEXT(BC4,"DD-MMM")</f>
        <v>Week 19-Oct</v>
      </c>
      <c r="BD1" s="7"/>
      <c r="BE1" s="7"/>
      <c r="BF1" s="7"/>
      <c r="BG1" s="7"/>
      <c r="BH1" s="7"/>
      <c r="BI1" s="7"/>
      <c r="BJ1" s="7" t="str">
        <f>"Week "&amp;TEXT(BJ4,"DD-MMM")</f>
        <v>Week 26-Oct</v>
      </c>
      <c r="BK1" s="7"/>
      <c r="BL1" s="7"/>
      <c r="BM1" s="7"/>
      <c r="BN1" s="7"/>
      <c r="BO1" s="7"/>
      <c r="BP1" s="7"/>
      <c r="BQ1" s="7" t="str">
        <f>"Week "&amp;TEXT(BQ4,"DD-MMM")</f>
        <v>Week 02-Nov</v>
      </c>
      <c r="BR1" s="7"/>
      <c r="BS1" s="7"/>
      <c r="BT1" s="7"/>
      <c r="BU1" s="7"/>
      <c r="BV1" s="7"/>
      <c r="BW1" s="7"/>
      <c r="BX1" s="7" t="str">
        <f>"Week "&amp;TEXT(BX4,"DD-MMM")</f>
        <v>Week 09-Nov</v>
      </c>
      <c r="BY1" s="7"/>
      <c r="BZ1" s="7"/>
      <c r="CA1" s="7"/>
      <c r="CB1" s="7"/>
      <c r="CC1" s="7"/>
      <c r="CD1" s="7"/>
      <c r="CE1" s="7" t="str">
        <f>"Week "&amp;TEXT(CE4,"DD-MMM")</f>
        <v>Week 16-Nov</v>
      </c>
      <c r="CF1" s="7"/>
      <c r="CG1" s="7"/>
      <c r="CH1" s="7"/>
      <c r="CI1" s="7"/>
      <c r="CJ1" s="7"/>
      <c r="CK1" s="7"/>
      <c r="CL1" s="7" t="str">
        <f>"Week "&amp;TEXT(CL4,"DD-MMM")</f>
        <v>Week 23-Nov</v>
      </c>
      <c r="CM1" s="7"/>
      <c r="CN1" s="7"/>
      <c r="CO1" s="7"/>
      <c r="CP1" s="7"/>
      <c r="CQ1" s="7"/>
      <c r="CR1" s="7"/>
      <c r="CS1" s="7" t="str">
        <f>"Week "&amp;TEXT(CS4,"DD-MMM")</f>
        <v>Week 30-Nov</v>
      </c>
      <c r="CT1" s="7"/>
      <c r="CU1" s="7"/>
      <c r="CV1" s="7"/>
      <c r="CW1" s="7"/>
      <c r="CX1" s="7"/>
      <c r="CY1" s="7"/>
      <c r="CZ1" s="10"/>
    </row>
    <row r="2" spans="1:104" ht="15" customHeight="1" x14ac:dyDescent="0.3">
      <c r="M2" s="6" t="str">
        <f>TEXT(N4,"mmmm yyyy")</f>
        <v>September 2025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5" t="str">
        <f>TEXT(AJ4,"mmmm yyyy")</f>
        <v>September 2025</v>
      </c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 t="str">
        <f>TEXT(BO4,"mmmm yyyy")</f>
        <v>October 2025</v>
      </c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 t="str">
        <f>TEXT(CS4,"mmmm yyyy")</f>
        <v>November 2025</v>
      </c>
      <c r="CT2" s="5"/>
      <c r="CU2" s="5"/>
      <c r="CV2" s="5"/>
      <c r="CW2" s="5"/>
      <c r="CX2" s="5"/>
      <c r="CY2" s="5"/>
      <c r="CZ2" s="10"/>
    </row>
    <row r="3" spans="1:104" ht="15" customHeight="1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3" t="str">
        <f t="shared" ref="N3:AS3" si="0">TEXT(N4,"ddd")</f>
        <v>Mon</v>
      </c>
      <c r="O3" s="13" t="str">
        <f t="shared" si="0"/>
        <v>Tue</v>
      </c>
      <c r="P3" s="13" t="str">
        <f t="shared" si="0"/>
        <v>Wed</v>
      </c>
      <c r="Q3" s="13" t="str">
        <f t="shared" si="0"/>
        <v>Thu</v>
      </c>
      <c r="R3" s="13" t="str">
        <f t="shared" si="0"/>
        <v>Fri</v>
      </c>
      <c r="S3" s="13" t="str">
        <f t="shared" si="0"/>
        <v>Sat</v>
      </c>
      <c r="T3" s="13" t="str">
        <f t="shared" si="0"/>
        <v>Sun</v>
      </c>
      <c r="U3" s="13" t="str">
        <f t="shared" si="0"/>
        <v>Mon</v>
      </c>
      <c r="V3" s="13" t="str">
        <f>TEXT(V4,"ddd")</f>
        <v>Tue</v>
      </c>
      <c r="W3" s="13" t="str">
        <f t="shared" si="0"/>
        <v>Wed</v>
      </c>
      <c r="X3" s="13" t="str">
        <f t="shared" si="0"/>
        <v>Thu</v>
      </c>
      <c r="Y3" s="13" t="str">
        <f t="shared" si="0"/>
        <v>Fri</v>
      </c>
      <c r="Z3" s="13" t="str">
        <f t="shared" si="0"/>
        <v>Sat</v>
      </c>
      <c r="AA3" s="13" t="str">
        <f t="shared" si="0"/>
        <v>Sun</v>
      </c>
      <c r="AB3" s="13" t="str">
        <f t="shared" si="0"/>
        <v>Mon</v>
      </c>
      <c r="AC3" s="13" t="str">
        <f t="shared" si="0"/>
        <v>Tue</v>
      </c>
      <c r="AD3" s="13" t="str">
        <f t="shared" si="0"/>
        <v>Wed</v>
      </c>
      <c r="AE3" s="13" t="str">
        <f t="shared" si="0"/>
        <v>Thu</v>
      </c>
      <c r="AF3" s="13" t="str">
        <f t="shared" si="0"/>
        <v>Fri</v>
      </c>
      <c r="AG3" s="13" t="str">
        <f t="shared" si="0"/>
        <v>Sat</v>
      </c>
      <c r="AH3" s="13" t="str">
        <f t="shared" si="0"/>
        <v>Sun</v>
      </c>
      <c r="AI3" s="13" t="str">
        <f t="shared" si="0"/>
        <v>Mon</v>
      </c>
      <c r="AJ3" s="13" t="str">
        <f t="shared" si="0"/>
        <v>Tue</v>
      </c>
      <c r="AK3" s="13" t="str">
        <f t="shared" si="0"/>
        <v>Wed</v>
      </c>
      <c r="AL3" s="13" t="str">
        <f t="shared" si="0"/>
        <v>Thu</v>
      </c>
      <c r="AM3" s="13" t="str">
        <f t="shared" si="0"/>
        <v>Fri</v>
      </c>
      <c r="AN3" s="13" t="str">
        <f t="shared" si="0"/>
        <v>Sat</v>
      </c>
      <c r="AO3" s="13" t="str">
        <f t="shared" si="0"/>
        <v>Sun</v>
      </c>
      <c r="AP3" s="13" t="str">
        <f t="shared" si="0"/>
        <v>Mon</v>
      </c>
      <c r="AQ3" s="13" t="str">
        <f t="shared" si="0"/>
        <v>Tue</v>
      </c>
      <c r="AR3" s="13" t="str">
        <f t="shared" si="0"/>
        <v>Wed</v>
      </c>
      <c r="AS3" s="13" t="str">
        <f t="shared" si="0"/>
        <v>Thu</v>
      </c>
      <c r="AT3" s="13" t="str">
        <f t="shared" ref="AT3:BY3" si="1">TEXT(AT4,"ddd")</f>
        <v>Fri</v>
      </c>
      <c r="AU3" s="13" t="str">
        <f t="shared" si="1"/>
        <v>Sat</v>
      </c>
      <c r="AV3" s="13" t="str">
        <f t="shared" si="1"/>
        <v>Sun</v>
      </c>
      <c r="AW3" s="13" t="str">
        <f t="shared" si="1"/>
        <v>Mon</v>
      </c>
      <c r="AX3" s="13" t="str">
        <f t="shared" si="1"/>
        <v>Tue</v>
      </c>
      <c r="AY3" s="13" t="str">
        <f t="shared" si="1"/>
        <v>Wed</v>
      </c>
      <c r="AZ3" s="13" t="str">
        <f t="shared" si="1"/>
        <v>Thu</v>
      </c>
      <c r="BA3" s="13" t="str">
        <f t="shared" si="1"/>
        <v>Fri</v>
      </c>
      <c r="BB3" s="13" t="str">
        <f t="shared" si="1"/>
        <v>Sat</v>
      </c>
      <c r="BC3" s="13" t="str">
        <f t="shared" si="1"/>
        <v>Sun</v>
      </c>
      <c r="BD3" s="13" t="str">
        <f t="shared" si="1"/>
        <v>Mon</v>
      </c>
      <c r="BE3" s="13" t="str">
        <f t="shared" si="1"/>
        <v>Tue</v>
      </c>
      <c r="BF3" s="13" t="str">
        <f t="shared" si="1"/>
        <v>Wed</v>
      </c>
      <c r="BG3" s="13" t="str">
        <f t="shared" si="1"/>
        <v>Thu</v>
      </c>
      <c r="BH3" s="13" t="str">
        <f t="shared" si="1"/>
        <v>Fri</v>
      </c>
      <c r="BI3" s="13" t="str">
        <f t="shared" si="1"/>
        <v>Sat</v>
      </c>
      <c r="BJ3" s="13" t="str">
        <f t="shared" si="1"/>
        <v>Sun</v>
      </c>
      <c r="BK3" s="13" t="str">
        <f t="shared" si="1"/>
        <v>Mon</v>
      </c>
      <c r="BL3" s="13" t="str">
        <f t="shared" si="1"/>
        <v>Tue</v>
      </c>
      <c r="BM3" s="13" t="str">
        <f t="shared" si="1"/>
        <v>Wed</v>
      </c>
      <c r="BN3" s="13" t="str">
        <f t="shared" si="1"/>
        <v>Thu</v>
      </c>
      <c r="BO3" s="13" t="str">
        <f t="shared" si="1"/>
        <v>Fri</v>
      </c>
      <c r="BP3" s="13" t="str">
        <f t="shared" si="1"/>
        <v>Sat</v>
      </c>
      <c r="BQ3" s="13" t="str">
        <f t="shared" si="1"/>
        <v>Sun</v>
      </c>
      <c r="BR3" s="13" t="str">
        <f t="shared" si="1"/>
        <v>Mon</v>
      </c>
      <c r="BS3" s="13" t="str">
        <f t="shared" si="1"/>
        <v>Tue</v>
      </c>
      <c r="BT3" s="13" t="str">
        <f t="shared" si="1"/>
        <v>Wed</v>
      </c>
      <c r="BU3" s="13" t="str">
        <f t="shared" si="1"/>
        <v>Thu</v>
      </c>
      <c r="BV3" s="13" t="str">
        <f t="shared" si="1"/>
        <v>Fri</v>
      </c>
      <c r="BW3" s="13" t="str">
        <f t="shared" si="1"/>
        <v>Sat</v>
      </c>
      <c r="BX3" s="13" t="str">
        <f t="shared" si="1"/>
        <v>Sun</v>
      </c>
      <c r="BY3" s="13" t="str">
        <f t="shared" si="1"/>
        <v>Mon</v>
      </c>
      <c r="BZ3" s="13" t="str">
        <f t="shared" ref="BZ3:DE3" si="2">TEXT(BZ4,"ddd")</f>
        <v>Tue</v>
      </c>
      <c r="CA3" s="13" t="str">
        <f t="shared" si="2"/>
        <v>Wed</v>
      </c>
      <c r="CB3" s="13" t="str">
        <f t="shared" si="2"/>
        <v>Thu</v>
      </c>
      <c r="CC3" s="13" t="str">
        <f t="shared" si="2"/>
        <v>Fri</v>
      </c>
      <c r="CD3" s="13" t="str">
        <f t="shared" si="2"/>
        <v>Sat</v>
      </c>
      <c r="CE3" s="13" t="str">
        <f t="shared" si="2"/>
        <v>Sun</v>
      </c>
      <c r="CF3" s="13" t="str">
        <f t="shared" si="2"/>
        <v>Mon</v>
      </c>
      <c r="CG3" s="13" t="str">
        <f t="shared" si="2"/>
        <v>Tue</v>
      </c>
      <c r="CH3" s="13" t="str">
        <f t="shared" si="2"/>
        <v>Wed</v>
      </c>
      <c r="CI3" s="13" t="str">
        <f t="shared" si="2"/>
        <v>Thu</v>
      </c>
      <c r="CJ3" s="13" t="str">
        <f t="shared" si="2"/>
        <v>Fri</v>
      </c>
      <c r="CK3" s="13" t="str">
        <f t="shared" si="2"/>
        <v>Sat</v>
      </c>
      <c r="CL3" s="13" t="str">
        <f t="shared" si="2"/>
        <v>Sun</v>
      </c>
      <c r="CM3" s="13" t="str">
        <f t="shared" si="2"/>
        <v>Mon</v>
      </c>
      <c r="CN3" s="13" t="str">
        <f t="shared" si="2"/>
        <v>Tue</v>
      </c>
      <c r="CO3" s="13" t="str">
        <f t="shared" si="2"/>
        <v>Wed</v>
      </c>
      <c r="CP3" s="13" t="str">
        <f t="shared" si="2"/>
        <v>Thu</v>
      </c>
      <c r="CQ3" s="13" t="str">
        <f t="shared" si="2"/>
        <v>Fri</v>
      </c>
      <c r="CR3" s="13" t="str">
        <f t="shared" si="2"/>
        <v>Sat</v>
      </c>
      <c r="CS3" s="13" t="str">
        <f t="shared" si="2"/>
        <v>Sun</v>
      </c>
      <c r="CT3" s="13" t="str">
        <f t="shared" si="2"/>
        <v>Mon</v>
      </c>
      <c r="CU3" s="13" t="str">
        <f t="shared" si="2"/>
        <v>Tue</v>
      </c>
      <c r="CV3" s="13" t="str">
        <f t="shared" si="2"/>
        <v>Wed</v>
      </c>
      <c r="CW3" s="13" t="str">
        <f t="shared" si="2"/>
        <v>Thu</v>
      </c>
      <c r="CX3" s="13" t="str">
        <f t="shared" si="2"/>
        <v>Fri</v>
      </c>
      <c r="CY3" s="13" t="str">
        <f t="shared" si="2"/>
        <v>Sat</v>
      </c>
      <c r="CZ3" s="13" t="str">
        <f t="shared" si="2"/>
        <v>Sun</v>
      </c>
    </row>
    <row r="4" spans="1:104" ht="15" customHeight="1" x14ac:dyDescent="0.3">
      <c r="N4" s="14">
        <v>45908</v>
      </c>
      <c r="O4" s="14">
        <f t="shared" ref="O4:AT4" si="3">N4+1</f>
        <v>45909</v>
      </c>
      <c r="P4" s="14">
        <f t="shared" si="3"/>
        <v>45910</v>
      </c>
      <c r="Q4" s="14">
        <f t="shared" si="3"/>
        <v>45911</v>
      </c>
      <c r="R4" s="14">
        <f t="shared" si="3"/>
        <v>45912</v>
      </c>
      <c r="S4" s="14">
        <f t="shared" si="3"/>
        <v>45913</v>
      </c>
      <c r="T4" s="14">
        <f t="shared" si="3"/>
        <v>45914</v>
      </c>
      <c r="U4" s="14">
        <f t="shared" si="3"/>
        <v>45915</v>
      </c>
      <c r="V4" s="14">
        <f t="shared" si="3"/>
        <v>45916</v>
      </c>
      <c r="W4" s="14">
        <f t="shared" si="3"/>
        <v>45917</v>
      </c>
      <c r="X4" s="14">
        <f t="shared" si="3"/>
        <v>45918</v>
      </c>
      <c r="Y4" s="14">
        <f t="shared" si="3"/>
        <v>45919</v>
      </c>
      <c r="Z4" s="14">
        <f t="shared" si="3"/>
        <v>45920</v>
      </c>
      <c r="AA4" s="14">
        <f t="shared" si="3"/>
        <v>45921</v>
      </c>
      <c r="AB4" s="14">
        <f t="shared" si="3"/>
        <v>45922</v>
      </c>
      <c r="AC4" s="14">
        <f t="shared" si="3"/>
        <v>45923</v>
      </c>
      <c r="AD4" s="14">
        <f t="shared" si="3"/>
        <v>45924</v>
      </c>
      <c r="AE4" s="14">
        <f t="shared" si="3"/>
        <v>45925</v>
      </c>
      <c r="AF4" s="14">
        <f t="shared" si="3"/>
        <v>45926</v>
      </c>
      <c r="AG4" s="14">
        <f t="shared" si="3"/>
        <v>45927</v>
      </c>
      <c r="AH4" s="14">
        <f t="shared" si="3"/>
        <v>45928</v>
      </c>
      <c r="AI4" s="14">
        <f t="shared" si="3"/>
        <v>45929</v>
      </c>
      <c r="AJ4" s="14">
        <f t="shared" si="3"/>
        <v>45930</v>
      </c>
      <c r="AK4" s="14">
        <f t="shared" si="3"/>
        <v>45931</v>
      </c>
      <c r="AL4" s="14">
        <f t="shared" si="3"/>
        <v>45932</v>
      </c>
      <c r="AM4" s="14">
        <f t="shared" si="3"/>
        <v>45933</v>
      </c>
      <c r="AN4" s="14">
        <f t="shared" si="3"/>
        <v>45934</v>
      </c>
      <c r="AO4" s="14">
        <f t="shared" si="3"/>
        <v>45935</v>
      </c>
      <c r="AP4" s="14">
        <f t="shared" si="3"/>
        <v>45936</v>
      </c>
      <c r="AQ4" s="14">
        <f t="shared" si="3"/>
        <v>45937</v>
      </c>
      <c r="AR4" s="14">
        <f t="shared" si="3"/>
        <v>45938</v>
      </c>
      <c r="AS4" s="14">
        <f t="shared" si="3"/>
        <v>45939</v>
      </c>
      <c r="AT4" s="14">
        <f t="shared" si="3"/>
        <v>45940</v>
      </c>
      <c r="AU4" s="14">
        <f t="shared" ref="AU4:BZ4" si="4">AT4+1</f>
        <v>45941</v>
      </c>
      <c r="AV4" s="14">
        <f t="shared" si="4"/>
        <v>45942</v>
      </c>
      <c r="AW4" s="14">
        <f t="shared" si="4"/>
        <v>45943</v>
      </c>
      <c r="AX4" s="14">
        <f t="shared" si="4"/>
        <v>45944</v>
      </c>
      <c r="AY4" s="14">
        <f t="shared" si="4"/>
        <v>45945</v>
      </c>
      <c r="AZ4" s="14">
        <f t="shared" si="4"/>
        <v>45946</v>
      </c>
      <c r="BA4" s="14">
        <f t="shared" si="4"/>
        <v>45947</v>
      </c>
      <c r="BB4" s="14">
        <f t="shared" si="4"/>
        <v>45948</v>
      </c>
      <c r="BC4" s="14">
        <f t="shared" si="4"/>
        <v>45949</v>
      </c>
      <c r="BD4" s="14">
        <f t="shared" si="4"/>
        <v>45950</v>
      </c>
      <c r="BE4" s="14">
        <f t="shared" si="4"/>
        <v>45951</v>
      </c>
      <c r="BF4" s="14">
        <f t="shared" si="4"/>
        <v>45952</v>
      </c>
      <c r="BG4" s="14">
        <f t="shared" si="4"/>
        <v>45953</v>
      </c>
      <c r="BH4" s="14">
        <f t="shared" si="4"/>
        <v>45954</v>
      </c>
      <c r="BI4" s="14">
        <f t="shared" si="4"/>
        <v>45955</v>
      </c>
      <c r="BJ4" s="14">
        <f t="shared" si="4"/>
        <v>45956</v>
      </c>
      <c r="BK4" s="14">
        <f t="shared" si="4"/>
        <v>45957</v>
      </c>
      <c r="BL4" s="14">
        <f t="shared" si="4"/>
        <v>45958</v>
      </c>
      <c r="BM4" s="14">
        <f t="shared" si="4"/>
        <v>45959</v>
      </c>
      <c r="BN4" s="14">
        <f t="shared" si="4"/>
        <v>45960</v>
      </c>
      <c r="BO4" s="14">
        <f t="shared" si="4"/>
        <v>45961</v>
      </c>
      <c r="BP4" s="14">
        <f t="shared" si="4"/>
        <v>45962</v>
      </c>
      <c r="BQ4" s="14">
        <f t="shared" si="4"/>
        <v>45963</v>
      </c>
      <c r="BR4" s="14">
        <f t="shared" si="4"/>
        <v>45964</v>
      </c>
      <c r="BS4" s="14">
        <f t="shared" si="4"/>
        <v>45965</v>
      </c>
      <c r="BT4" s="14">
        <f t="shared" si="4"/>
        <v>45966</v>
      </c>
      <c r="BU4" s="14">
        <f t="shared" si="4"/>
        <v>45967</v>
      </c>
      <c r="BV4" s="14">
        <f t="shared" si="4"/>
        <v>45968</v>
      </c>
      <c r="BW4" s="14">
        <f t="shared" si="4"/>
        <v>45969</v>
      </c>
      <c r="BX4" s="14">
        <f t="shared" si="4"/>
        <v>45970</v>
      </c>
      <c r="BY4" s="14">
        <f t="shared" si="4"/>
        <v>45971</v>
      </c>
      <c r="BZ4" s="14">
        <f t="shared" si="4"/>
        <v>45972</v>
      </c>
      <c r="CA4" s="14">
        <f t="shared" ref="CA4:CZ4" si="5">BZ4+1</f>
        <v>45973</v>
      </c>
      <c r="CB4" s="14">
        <f t="shared" si="5"/>
        <v>45974</v>
      </c>
      <c r="CC4" s="14">
        <f t="shared" si="5"/>
        <v>45975</v>
      </c>
      <c r="CD4" s="14">
        <f t="shared" si="5"/>
        <v>45976</v>
      </c>
      <c r="CE4" s="14">
        <f t="shared" si="5"/>
        <v>45977</v>
      </c>
      <c r="CF4" s="14">
        <f t="shared" si="5"/>
        <v>45978</v>
      </c>
      <c r="CG4" s="14">
        <f t="shared" si="5"/>
        <v>45979</v>
      </c>
      <c r="CH4" s="14">
        <f t="shared" si="5"/>
        <v>45980</v>
      </c>
      <c r="CI4" s="14">
        <f t="shared" si="5"/>
        <v>45981</v>
      </c>
      <c r="CJ4" s="14">
        <f t="shared" si="5"/>
        <v>45982</v>
      </c>
      <c r="CK4" s="14">
        <f t="shared" si="5"/>
        <v>45983</v>
      </c>
      <c r="CL4" s="14">
        <f t="shared" si="5"/>
        <v>45984</v>
      </c>
      <c r="CM4" s="14">
        <f t="shared" si="5"/>
        <v>45985</v>
      </c>
      <c r="CN4" s="14">
        <f t="shared" si="5"/>
        <v>45986</v>
      </c>
      <c r="CO4" s="14">
        <f t="shared" si="5"/>
        <v>45987</v>
      </c>
      <c r="CP4" s="14">
        <f t="shared" si="5"/>
        <v>45988</v>
      </c>
      <c r="CQ4" s="14">
        <f t="shared" si="5"/>
        <v>45989</v>
      </c>
      <c r="CR4" s="14">
        <f t="shared" si="5"/>
        <v>45990</v>
      </c>
      <c r="CS4" s="14">
        <f t="shared" si="5"/>
        <v>45991</v>
      </c>
      <c r="CT4" s="14">
        <f t="shared" si="5"/>
        <v>45992</v>
      </c>
      <c r="CU4" s="14">
        <f t="shared" si="5"/>
        <v>45993</v>
      </c>
      <c r="CV4" s="14">
        <f t="shared" si="5"/>
        <v>45994</v>
      </c>
      <c r="CW4" s="14">
        <f t="shared" si="5"/>
        <v>45995</v>
      </c>
      <c r="CX4" s="14">
        <f t="shared" si="5"/>
        <v>45996</v>
      </c>
      <c r="CY4" s="14">
        <f t="shared" si="5"/>
        <v>45997</v>
      </c>
      <c r="CZ4" s="14">
        <f t="shared" si="5"/>
        <v>45998</v>
      </c>
    </row>
    <row r="5" spans="1:104" ht="21.75" customHeight="1" x14ac:dyDescent="0.3">
      <c r="A5" s="4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10"/>
    </row>
    <row r="6" spans="1:104" ht="15" customHeight="1" x14ac:dyDescent="0.3">
      <c r="A6" s="3" t="s">
        <v>15</v>
      </c>
      <c r="B6" s="2" t="s">
        <v>16</v>
      </c>
      <c r="C6" s="3" t="s">
        <v>17</v>
      </c>
      <c r="D6" s="1" t="s">
        <v>18</v>
      </c>
      <c r="E6" s="1" t="s">
        <v>19</v>
      </c>
      <c r="F6" s="16" t="s">
        <v>20</v>
      </c>
      <c r="G6" s="15" t="s">
        <v>21</v>
      </c>
      <c r="H6" s="15" t="s">
        <v>21</v>
      </c>
      <c r="I6" s="15">
        <f>K6-J6+1</f>
        <v>7</v>
      </c>
      <c r="J6" s="17">
        <v>45908</v>
      </c>
      <c r="K6" s="17">
        <v>45914</v>
      </c>
      <c r="N6" s="18" t="str">
        <f t="shared" ref="N6:AS6" si="6">IF($D6="","",IF(AND($J6&lt;=N$4,$K6&gt;=N$4),"x",""))</f>
        <v>x</v>
      </c>
      <c r="O6" s="18" t="str">
        <f t="shared" si="6"/>
        <v>x</v>
      </c>
      <c r="P6" s="18" t="str">
        <f t="shared" si="6"/>
        <v>x</v>
      </c>
      <c r="Q6" s="18" t="str">
        <f t="shared" si="6"/>
        <v>x</v>
      </c>
      <c r="R6" s="18" t="str">
        <f t="shared" si="6"/>
        <v>x</v>
      </c>
      <c r="S6" s="18" t="str">
        <f t="shared" si="6"/>
        <v>x</v>
      </c>
      <c r="T6" s="18" t="str">
        <f t="shared" si="6"/>
        <v>x</v>
      </c>
      <c r="U6" s="18" t="str">
        <f t="shared" si="6"/>
        <v/>
      </c>
      <c r="V6" s="18" t="str">
        <f t="shared" si="6"/>
        <v/>
      </c>
      <c r="W6" s="18" t="str">
        <f t="shared" si="6"/>
        <v/>
      </c>
      <c r="X6" s="18" t="str">
        <f t="shared" si="6"/>
        <v/>
      </c>
      <c r="Y6" s="18" t="str">
        <f t="shared" si="6"/>
        <v/>
      </c>
      <c r="Z6" s="18" t="str">
        <f t="shared" si="6"/>
        <v/>
      </c>
      <c r="AA6" s="18" t="str">
        <f t="shared" si="6"/>
        <v/>
      </c>
      <c r="AB6" s="18" t="str">
        <f t="shared" si="6"/>
        <v/>
      </c>
      <c r="AC6" s="18" t="str">
        <f t="shared" si="6"/>
        <v/>
      </c>
      <c r="AD6" s="18" t="str">
        <f t="shared" si="6"/>
        <v/>
      </c>
      <c r="AE6" s="18" t="str">
        <f t="shared" si="6"/>
        <v/>
      </c>
      <c r="AF6" s="18" t="str">
        <f t="shared" si="6"/>
        <v/>
      </c>
      <c r="AG6" s="18" t="str">
        <f t="shared" si="6"/>
        <v/>
      </c>
      <c r="AH6" s="18" t="str">
        <f t="shared" si="6"/>
        <v/>
      </c>
      <c r="AI6" s="18" t="str">
        <f t="shared" si="6"/>
        <v/>
      </c>
      <c r="AJ6" s="18" t="str">
        <f t="shared" si="6"/>
        <v/>
      </c>
      <c r="AK6" s="18" t="str">
        <f t="shared" si="6"/>
        <v/>
      </c>
      <c r="AL6" s="18" t="str">
        <f t="shared" si="6"/>
        <v/>
      </c>
      <c r="AM6" s="18" t="str">
        <f t="shared" si="6"/>
        <v/>
      </c>
      <c r="AN6" s="18" t="str">
        <f t="shared" si="6"/>
        <v/>
      </c>
      <c r="AO6" s="18" t="str">
        <f t="shared" si="6"/>
        <v/>
      </c>
      <c r="AP6" s="18" t="str">
        <f t="shared" si="6"/>
        <v/>
      </c>
      <c r="AQ6" s="18" t="str">
        <f t="shared" si="6"/>
        <v/>
      </c>
      <c r="AR6" s="18" t="str">
        <f t="shared" si="6"/>
        <v/>
      </c>
      <c r="AS6" s="18" t="str">
        <f t="shared" si="6"/>
        <v/>
      </c>
      <c r="AT6" s="18" t="str">
        <f t="shared" ref="AT6:BY6" si="7">IF($D6="","",IF(AND($J6&lt;=AT$4,$K6&gt;=AT$4),"x",""))</f>
        <v/>
      </c>
      <c r="AU6" s="18" t="str">
        <f t="shared" si="7"/>
        <v/>
      </c>
      <c r="AV6" s="18" t="str">
        <f t="shared" si="7"/>
        <v/>
      </c>
      <c r="AW6" s="18" t="str">
        <f t="shared" si="7"/>
        <v/>
      </c>
      <c r="AX6" s="18" t="str">
        <f t="shared" si="7"/>
        <v/>
      </c>
      <c r="AY6" s="18" t="str">
        <f t="shared" si="7"/>
        <v/>
      </c>
      <c r="AZ6" s="18" t="str">
        <f t="shared" si="7"/>
        <v/>
      </c>
      <c r="BA6" s="18" t="str">
        <f t="shared" si="7"/>
        <v/>
      </c>
      <c r="BB6" s="18" t="str">
        <f t="shared" si="7"/>
        <v/>
      </c>
      <c r="BC6" s="18" t="str">
        <f t="shared" si="7"/>
        <v/>
      </c>
      <c r="BD6" s="18" t="str">
        <f t="shared" si="7"/>
        <v/>
      </c>
      <c r="BE6" s="18" t="str">
        <f t="shared" si="7"/>
        <v/>
      </c>
      <c r="BF6" s="18" t="str">
        <f t="shared" si="7"/>
        <v/>
      </c>
      <c r="BG6" s="18" t="str">
        <f t="shared" si="7"/>
        <v/>
      </c>
      <c r="BH6" s="18" t="str">
        <f t="shared" si="7"/>
        <v/>
      </c>
      <c r="BI6" s="18" t="str">
        <f t="shared" si="7"/>
        <v/>
      </c>
      <c r="BJ6" s="18" t="str">
        <f t="shared" si="7"/>
        <v/>
      </c>
      <c r="BK6" s="18" t="str">
        <f t="shared" si="7"/>
        <v/>
      </c>
      <c r="BL6" s="18" t="str">
        <f t="shared" si="7"/>
        <v/>
      </c>
      <c r="BM6" s="18" t="str">
        <f t="shared" si="7"/>
        <v/>
      </c>
      <c r="BN6" s="18" t="str">
        <f t="shared" si="7"/>
        <v/>
      </c>
      <c r="BO6" s="18" t="str">
        <f t="shared" si="7"/>
        <v/>
      </c>
      <c r="BP6" s="18" t="str">
        <f t="shared" si="7"/>
        <v/>
      </c>
      <c r="BQ6" s="18" t="str">
        <f t="shared" si="7"/>
        <v/>
      </c>
      <c r="BR6" s="18" t="str">
        <f t="shared" si="7"/>
        <v/>
      </c>
      <c r="BS6" s="18" t="str">
        <f t="shared" si="7"/>
        <v/>
      </c>
      <c r="BT6" s="18" t="str">
        <f t="shared" si="7"/>
        <v/>
      </c>
      <c r="BU6" s="18" t="str">
        <f t="shared" si="7"/>
        <v/>
      </c>
      <c r="BV6" s="18" t="str">
        <f t="shared" si="7"/>
        <v/>
      </c>
      <c r="BW6" s="18" t="str">
        <f t="shared" si="7"/>
        <v/>
      </c>
      <c r="BX6" s="18" t="str">
        <f t="shared" si="7"/>
        <v/>
      </c>
      <c r="BY6" s="18" t="str">
        <f t="shared" si="7"/>
        <v/>
      </c>
      <c r="BZ6" s="18" t="str">
        <f t="shared" ref="BZ6:CZ6" si="8">IF($D6="","",IF(AND($J6&lt;=BZ$4,$K6&gt;=BZ$4),"x",""))</f>
        <v/>
      </c>
      <c r="CA6" s="18" t="str">
        <f t="shared" si="8"/>
        <v/>
      </c>
      <c r="CB6" s="18" t="str">
        <f t="shared" si="8"/>
        <v/>
      </c>
      <c r="CC6" s="18" t="str">
        <f t="shared" si="8"/>
        <v/>
      </c>
      <c r="CD6" s="18" t="str">
        <f t="shared" si="8"/>
        <v/>
      </c>
      <c r="CE6" s="18" t="str">
        <f t="shared" si="8"/>
        <v/>
      </c>
      <c r="CF6" s="18" t="str">
        <f t="shared" si="8"/>
        <v/>
      </c>
      <c r="CG6" s="18" t="str">
        <f t="shared" si="8"/>
        <v/>
      </c>
      <c r="CH6" s="18" t="str">
        <f t="shared" si="8"/>
        <v/>
      </c>
      <c r="CI6" s="18" t="str">
        <f t="shared" si="8"/>
        <v/>
      </c>
      <c r="CJ6" s="18" t="str">
        <f t="shared" si="8"/>
        <v/>
      </c>
      <c r="CK6" s="18" t="str">
        <f t="shared" si="8"/>
        <v/>
      </c>
      <c r="CL6" s="18" t="str">
        <f t="shared" si="8"/>
        <v/>
      </c>
      <c r="CM6" s="18" t="str">
        <f t="shared" si="8"/>
        <v/>
      </c>
      <c r="CN6" s="18" t="str">
        <f t="shared" si="8"/>
        <v/>
      </c>
      <c r="CO6" s="18" t="str">
        <f t="shared" si="8"/>
        <v/>
      </c>
      <c r="CP6" s="18" t="str">
        <f t="shared" si="8"/>
        <v/>
      </c>
      <c r="CQ6" s="18" t="str">
        <f t="shared" si="8"/>
        <v/>
      </c>
      <c r="CR6" s="18" t="str">
        <f t="shared" si="8"/>
        <v/>
      </c>
      <c r="CS6" s="18" t="str">
        <f t="shared" si="8"/>
        <v/>
      </c>
      <c r="CT6" s="18" t="str">
        <f t="shared" si="8"/>
        <v/>
      </c>
      <c r="CU6" s="18" t="str">
        <f t="shared" si="8"/>
        <v/>
      </c>
      <c r="CV6" s="18" t="str">
        <f t="shared" si="8"/>
        <v/>
      </c>
      <c r="CW6" s="18" t="str">
        <f t="shared" si="8"/>
        <v/>
      </c>
      <c r="CX6" s="18" t="str">
        <f t="shared" si="8"/>
        <v/>
      </c>
      <c r="CY6" s="18" t="str">
        <f t="shared" si="8"/>
        <v/>
      </c>
      <c r="CZ6" s="18" t="str">
        <f t="shared" si="8"/>
        <v/>
      </c>
    </row>
    <row r="7" spans="1:104" ht="15" customHeight="1" x14ac:dyDescent="0.3">
      <c r="A7" s="3"/>
      <c r="B7" s="2"/>
      <c r="C7" s="3"/>
      <c r="D7" s="3"/>
      <c r="E7" s="3"/>
      <c r="F7" s="19"/>
      <c r="J7" s="20"/>
      <c r="K7" s="20"/>
      <c r="L7" s="21">
        <v>45908</v>
      </c>
      <c r="M7" s="21">
        <v>45914</v>
      </c>
      <c r="N7" s="18" t="str">
        <f t="shared" ref="N7:AS7" si="9">IF(AND($L7&lt;=N$4,$M7&gt;=N$4),"y","")</f>
        <v>y</v>
      </c>
      <c r="O7" s="18" t="str">
        <f t="shared" si="9"/>
        <v>y</v>
      </c>
      <c r="P7" s="18" t="str">
        <f t="shared" si="9"/>
        <v>y</v>
      </c>
      <c r="Q7" s="18" t="str">
        <f t="shared" si="9"/>
        <v>y</v>
      </c>
      <c r="R7" s="18" t="str">
        <f t="shared" si="9"/>
        <v>y</v>
      </c>
      <c r="S7" s="18" t="str">
        <f t="shared" si="9"/>
        <v>y</v>
      </c>
      <c r="T7" s="18" t="str">
        <f t="shared" si="9"/>
        <v>y</v>
      </c>
      <c r="U7" s="18" t="str">
        <f t="shared" si="9"/>
        <v/>
      </c>
      <c r="V7" s="18" t="str">
        <f t="shared" si="9"/>
        <v/>
      </c>
      <c r="W7" s="18" t="str">
        <f t="shared" si="9"/>
        <v/>
      </c>
      <c r="X7" s="18" t="str">
        <f t="shared" si="9"/>
        <v/>
      </c>
      <c r="Y7" s="18" t="str">
        <f t="shared" si="9"/>
        <v/>
      </c>
      <c r="Z7" s="18" t="str">
        <f t="shared" si="9"/>
        <v/>
      </c>
      <c r="AA7" s="18" t="str">
        <f t="shared" si="9"/>
        <v/>
      </c>
      <c r="AB7" s="18" t="str">
        <f t="shared" si="9"/>
        <v/>
      </c>
      <c r="AC7" s="18" t="str">
        <f t="shared" si="9"/>
        <v/>
      </c>
      <c r="AD7" s="18" t="str">
        <f t="shared" si="9"/>
        <v/>
      </c>
      <c r="AE7" s="18" t="str">
        <f t="shared" si="9"/>
        <v/>
      </c>
      <c r="AF7" s="18" t="str">
        <f t="shared" si="9"/>
        <v/>
      </c>
      <c r="AG7" s="18" t="str">
        <f t="shared" si="9"/>
        <v/>
      </c>
      <c r="AH7" s="18" t="str">
        <f t="shared" si="9"/>
        <v/>
      </c>
      <c r="AI7" s="18" t="str">
        <f t="shared" si="9"/>
        <v/>
      </c>
      <c r="AJ7" s="18" t="str">
        <f t="shared" si="9"/>
        <v/>
      </c>
      <c r="AK7" s="18" t="str">
        <f t="shared" si="9"/>
        <v/>
      </c>
      <c r="AL7" s="18" t="str">
        <f t="shared" si="9"/>
        <v/>
      </c>
      <c r="AM7" s="18" t="str">
        <f t="shared" si="9"/>
        <v/>
      </c>
      <c r="AN7" s="18" t="str">
        <f t="shared" si="9"/>
        <v/>
      </c>
      <c r="AO7" s="18" t="str">
        <f t="shared" si="9"/>
        <v/>
      </c>
      <c r="AP7" s="18" t="str">
        <f t="shared" si="9"/>
        <v/>
      </c>
      <c r="AQ7" s="18" t="str">
        <f t="shared" si="9"/>
        <v/>
      </c>
      <c r="AR7" s="18" t="str">
        <f t="shared" si="9"/>
        <v/>
      </c>
      <c r="AS7" s="18" t="str">
        <f t="shared" si="9"/>
        <v/>
      </c>
      <c r="AT7" s="18" t="str">
        <f t="shared" ref="AT7:BY7" si="10">IF(AND($L7&lt;=AT$4,$M7&gt;=AT$4),"y","")</f>
        <v/>
      </c>
      <c r="AU7" s="18" t="str">
        <f t="shared" si="10"/>
        <v/>
      </c>
      <c r="AV7" s="18" t="str">
        <f t="shared" si="10"/>
        <v/>
      </c>
      <c r="AW7" s="18" t="str">
        <f t="shared" si="10"/>
        <v/>
      </c>
      <c r="AX7" s="18" t="str">
        <f t="shared" si="10"/>
        <v/>
      </c>
      <c r="AY7" s="18" t="str">
        <f t="shared" si="10"/>
        <v/>
      </c>
      <c r="AZ7" s="18" t="str">
        <f t="shared" si="10"/>
        <v/>
      </c>
      <c r="BA7" s="18" t="str">
        <f t="shared" si="10"/>
        <v/>
      </c>
      <c r="BB7" s="18" t="str">
        <f t="shared" si="10"/>
        <v/>
      </c>
      <c r="BC7" s="18" t="str">
        <f t="shared" si="10"/>
        <v/>
      </c>
      <c r="BD7" s="18" t="str">
        <f t="shared" si="10"/>
        <v/>
      </c>
      <c r="BE7" s="18" t="str">
        <f t="shared" si="10"/>
        <v/>
      </c>
      <c r="BF7" s="18" t="str">
        <f t="shared" si="10"/>
        <v/>
      </c>
      <c r="BG7" s="18" t="str">
        <f t="shared" si="10"/>
        <v/>
      </c>
      <c r="BH7" s="18" t="str">
        <f t="shared" si="10"/>
        <v/>
      </c>
      <c r="BI7" s="18" t="str">
        <f t="shared" si="10"/>
        <v/>
      </c>
      <c r="BJ7" s="18" t="str">
        <f t="shared" si="10"/>
        <v/>
      </c>
      <c r="BK7" s="18" t="str">
        <f t="shared" si="10"/>
        <v/>
      </c>
      <c r="BL7" s="18" t="str">
        <f t="shared" si="10"/>
        <v/>
      </c>
      <c r="BM7" s="18" t="str">
        <f t="shared" si="10"/>
        <v/>
      </c>
      <c r="BN7" s="18" t="str">
        <f t="shared" si="10"/>
        <v/>
      </c>
      <c r="BO7" s="18" t="str">
        <f t="shared" si="10"/>
        <v/>
      </c>
      <c r="BP7" s="18" t="str">
        <f t="shared" si="10"/>
        <v/>
      </c>
      <c r="BQ7" s="18" t="str">
        <f t="shared" si="10"/>
        <v/>
      </c>
      <c r="BR7" s="18" t="str">
        <f t="shared" si="10"/>
        <v/>
      </c>
      <c r="BS7" s="18" t="str">
        <f t="shared" si="10"/>
        <v/>
      </c>
      <c r="BT7" s="18" t="str">
        <f t="shared" si="10"/>
        <v/>
      </c>
      <c r="BU7" s="18" t="str">
        <f t="shared" si="10"/>
        <v/>
      </c>
      <c r="BV7" s="18" t="str">
        <f t="shared" si="10"/>
        <v/>
      </c>
      <c r="BW7" s="18" t="str">
        <f t="shared" si="10"/>
        <v/>
      </c>
      <c r="BX7" s="18" t="str">
        <f t="shared" si="10"/>
        <v/>
      </c>
      <c r="BY7" s="18" t="str">
        <f t="shared" si="10"/>
        <v/>
      </c>
      <c r="BZ7" s="18" t="str">
        <f t="shared" ref="BZ7:CZ7" si="11">IF(AND($L7&lt;=BZ$4,$M7&gt;=BZ$4),"y","")</f>
        <v/>
      </c>
      <c r="CA7" s="18" t="str">
        <f t="shared" si="11"/>
        <v/>
      </c>
      <c r="CB7" s="18" t="str">
        <f t="shared" si="11"/>
        <v/>
      </c>
      <c r="CC7" s="18" t="str">
        <f t="shared" si="11"/>
        <v/>
      </c>
      <c r="CD7" s="18" t="str">
        <f t="shared" si="11"/>
        <v/>
      </c>
      <c r="CE7" s="18" t="str">
        <f t="shared" si="11"/>
        <v/>
      </c>
      <c r="CF7" s="18" t="str">
        <f t="shared" si="11"/>
        <v/>
      </c>
      <c r="CG7" s="18" t="str">
        <f t="shared" si="11"/>
        <v/>
      </c>
      <c r="CH7" s="18" t="str">
        <f t="shared" si="11"/>
        <v/>
      </c>
      <c r="CI7" s="18" t="str">
        <f t="shared" si="11"/>
        <v/>
      </c>
      <c r="CJ7" s="18" t="str">
        <f t="shared" si="11"/>
        <v/>
      </c>
      <c r="CK7" s="18" t="str">
        <f t="shared" si="11"/>
        <v/>
      </c>
      <c r="CL7" s="18" t="str">
        <f t="shared" si="11"/>
        <v/>
      </c>
      <c r="CM7" s="18" t="str">
        <f t="shared" si="11"/>
        <v/>
      </c>
      <c r="CN7" s="18" t="str">
        <f t="shared" si="11"/>
        <v/>
      </c>
      <c r="CO7" s="18" t="str">
        <f t="shared" si="11"/>
        <v/>
      </c>
      <c r="CP7" s="18" t="str">
        <f t="shared" si="11"/>
        <v/>
      </c>
      <c r="CQ7" s="18" t="str">
        <f t="shared" si="11"/>
        <v/>
      </c>
      <c r="CR7" s="18" t="str">
        <f t="shared" si="11"/>
        <v/>
      </c>
      <c r="CS7" s="18" t="str">
        <f t="shared" si="11"/>
        <v/>
      </c>
      <c r="CT7" s="18" t="str">
        <f t="shared" si="11"/>
        <v/>
      </c>
      <c r="CU7" s="18" t="str">
        <f t="shared" si="11"/>
        <v/>
      </c>
      <c r="CV7" s="18" t="str">
        <f t="shared" si="11"/>
        <v/>
      </c>
      <c r="CW7" s="18" t="str">
        <f t="shared" si="11"/>
        <v/>
      </c>
      <c r="CX7" s="18" t="str">
        <f t="shared" si="11"/>
        <v/>
      </c>
      <c r="CY7" s="18" t="str">
        <f t="shared" si="11"/>
        <v/>
      </c>
      <c r="CZ7" s="18" t="str">
        <f t="shared" si="11"/>
        <v/>
      </c>
    </row>
    <row r="8" spans="1:104" ht="15" customHeight="1" x14ac:dyDescent="0.3">
      <c r="A8" s="3" t="s">
        <v>22</v>
      </c>
      <c r="B8" s="2" t="s">
        <v>15</v>
      </c>
      <c r="C8" s="3" t="s">
        <v>17</v>
      </c>
      <c r="D8" s="1" t="s">
        <v>23</v>
      </c>
      <c r="E8" s="1" t="s">
        <v>24</v>
      </c>
      <c r="F8" s="16" t="s">
        <v>25</v>
      </c>
      <c r="G8" s="15" t="s">
        <v>21</v>
      </c>
      <c r="H8" s="15" t="s">
        <v>21</v>
      </c>
      <c r="I8" s="15">
        <f>K8-J8+1</f>
        <v>7</v>
      </c>
      <c r="J8" s="17">
        <v>45908</v>
      </c>
      <c r="K8" s="17">
        <v>45914</v>
      </c>
      <c r="N8" s="18" t="str">
        <f t="shared" ref="N8:AS8" si="12">IF($D8="","",IF(AND($J8&lt;=N$4,$K8&gt;=N$4),"x",""))</f>
        <v>x</v>
      </c>
      <c r="O8" s="18" t="str">
        <f t="shared" si="12"/>
        <v>x</v>
      </c>
      <c r="P8" s="18" t="str">
        <f t="shared" si="12"/>
        <v>x</v>
      </c>
      <c r="Q8" s="18" t="str">
        <f t="shared" si="12"/>
        <v>x</v>
      </c>
      <c r="R8" s="18" t="str">
        <f t="shared" si="12"/>
        <v>x</v>
      </c>
      <c r="S8" s="18" t="str">
        <f t="shared" si="12"/>
        <v>x</v>
      </c>
      <c r="T8" s="18" t="str">
        <f t="shared" si="12"/>
        <v>x</v>
      </c>
      <c r="U8" s="18" t="str">
        <f t="shared" si="12"/>
        <v/>
      </c>
      <c r="V8" s="18" t="str">
        <f t="shared" si="12"/>
        <v/>
      </c>
      <c r="W8" s="18" t="str">
        <f t="shared" si="12"/>
        <v/>
      </c>
      <c r="X8" s="18" t="str">
        <f t="shared" si="12"/>
        <v/>
      </c>
      <c r="Y8" s="18" t="str">
        <f t="shared" si="12"/>
        <v/>
      </c>
      <c r="Z8" s="18" t="str">
        <f t="shared" si="12"/>
        <v/>
      </c>
      <c r="AA8" s="18" t="str">
        <f t="shared" si="12"/>
        <v/>
      </c>
      <c r="AB8" s="18" t="str">
        <f t="shared" si="12"/>
        <v/>
      </c>
      <c r="AC8" s="18" t="str">
        <f t="shared" si="12"/>
        <v/>
      </c>
      <c r="AD8" s="18" t="str">
        <f t="shared" si="12"/>
        <v/>
      </c>
      <c r="AE8" s="18" t="str">
        <f t="shared" si="12"/>
        <v/>
      </c>
      <c r="AF8" s="18" t="str">
        <f t="shared" si="12"/>
        <v/>
      </c>
      <c r="AG8" s="18" t="str">
        <f t="shared" si="12"/>
        <v/>
      </c>
      <c r="AH8" s="18" t="str">
        <f t="shared" si="12"/>
        <v/>
      </c>
      <c r="AI8" s="18" t="str">
        <f t="shared" si="12"/>
        <v/>
      </c>
      <c r="AJ8" s="18" t="str">
        <f t="shared" si="12"/>
        <v/>
      </c>
      <c r="AK8" s="18" t="str">
        <f t="shared" si="12"/>
        <v/>
      </c>
      <c r="AL8" s="18" t="str">
        <f t="shared" si="12"/>
        <v/>
      </c>
      <c r="AM8" s="18" t="str">
        <f t="shared" si="12"/>
        <v/>
      </c>
      <c r="AN8" s="18" t="str">
        <f t="shared" si="12"/>
        <v/>
      </c>
      <c r="AO8" s="18" t="str">
        <f t="shared" si="12"/>
        <v/>
      </c>
      <c r="AP8" s="18" t="str">
        <f t="shared" si="12"/>
        <v/>
      </c>
      <c r="AQ8" s="18" t="str">
        <f t="shared" si="12"/>
        <v/>
      </c>
      <c r="AR8" s="18" t="str">
        <f t="shared" si="12"/>
        <v/>
      </c>
      <c r="AS8" s="18" t="str">
        <f t="shared" si="12"/>
        <v/>
      </c>
      <c r="AT8" s="18" t="str">
        <f t="shared" ref="AT8:BY8" si="13">IF($D8="","",IF(AND($J8&lt;=AT$4,$K8&gt;=AT$4),"x",""))</f>
        <v/>
      </c>
      <c r="AU8" s="18" t="str">
        <f t="shared" si="13"/>
        <v/>
      </c>
      <c r="AV8" s="18" t="str">
        <f t="shared" si="13"/>
        <v/>
      </c>
      <c r="AW8" s="18" t="str">
        <f t="shared" si="13"/>
        <v/>
      </c>
      <c r="AX8" s="18" t="str">
        <f t="shared" si="13"/>
        <v/>
      </c>
      <c r="AY8" s="18" t="str">
        <f t="shared" si="13"/>
        <v/>
      </c>
      <c r="AZ8" s="18" t="str">
        <f t="shared" si="13"/>
        <v/>
      </c>
      <c r="BA8" s="18" t="str">
        <f t="shared" si="13"/>
        <v/>
      </c>
      <c r="BB8" s="18" t="str">
        <f t="shared" si="13"/>
        <v/>
      </c>
      <c r="BC8" s="18" t="str">
        <f t="shared" si="13"/>
        <v/>
      </c>
      <c r="BD8" s="18" t="str">
        <f t="shared" si="13"/>
        <v/>
      </c>
      <c r="BE8" s="18" t="str">
        <f t="shared" si="13"/>
        <v/>
      </c>
      <c r="BF8" s="18" t="str">
        <f t="shared" si="13"/>
        <v/>
      </c>
      <c r="BG8" s="18" t="str">
        <f t="shared" si="13"/>
        <v/>
      </c>
      <c r="BH8" s="18" t="str">
        <f t="shared" si="13"/>
        <v/>
      </c>
      <c r="BI8" s="18" t="str">
        <f t="shared" si="13"/>
        <v/>
      </c>
      <c r="BJ8" s="18" t="str">
        <f t="shared" si="13"/>
        <v/>
      </c>
      <c r="BK8" s="18" t="str">
        <f t="shared" si="13"/>
        <v/>
      </c>
      <c r="BL8" s="18" t="str">
        <f t="shared" si="13"/>
        <v/>
      </c>
      <c r="BM8" s="18" t="str">
        <f t="shared" si="13"/>
        <v/>
      </c>
      <c r="BN8" s="18" t="str">
        <f t="shared" si="13"/>
        <v/>
      </c>
      <c r="BO8" s="18" t="str">
        <f t="shared" si="13"/>
        <v/>
      </c>
      <c r="BP8" s="18" t="str">
        <f t="shared" si="13"/>
        <v/>
      </c>
      <c r="BQ8" s="18" t="str">
        <f t="shared" si="13"/>
        <v/>
      </c>
      <c r="BR8" s="18" t="str">
        <f t="shared" si="13"/>
        <v/>
      </c>
      <c r="BS8" s="18" t="str">
        <f t="shared" si="13"/>
        <v/>
      </c>
      <c r="BT8" s="18" t="str">
        <f t="shared" si="13"/>
        <v/>
      </c>
      <c r="BU8" s="18" t="str">
        <f t="shared" si="13"/>
        <v/>
      </c>
      <c r="BV8" s="18" t="str">
        <f t="shared" si="13"/>
        <v/>
      </c>
      <c r="BW8" s="18" t="str">
        <f t="shared" si="13"/>
        <v/>
      </c>
      <c r="BX8" s="18" t="str">
        <f t="shared" si="13"/>
        <v/>
      </c>
      <c r="BY8" s="18" t="str">
        <f t="shared" si="13"/>
        <v/>
      </c>
      <c r="BZ8" s="18" t="str">
        <f t="shared" ref="BZ8:CZ8" si="14">IF($D8="","",IF(AND($J8&lt;=BZ$4,$K8&gt;=BZ$4),"x",""))</f>
        <v/>
      </c>
      <c r="CA8" s="18" t="str">
        <f t="shared" si="14"/>
        <v/>
      </c>
      <c r="CB8" s="18" t="str">
        <f t="shared" si="14"/>
        <v/>
      </c>
      <c r="CC8" s="18" t="str">
        <f t="shared" si="14"/>
        <v/>
      </c>
      <c r="CD8" s="18" t="str">
        <f t="shared" si="14"/>
        <v/>
      </c>
      <c r="CE8" s="18" t="str">
        <f t="shared" si="14"/>
        <v/>
      </c>
      <c r="CF8" s="18" t="str">
        <f t="shared" si="14"/>
        <v/>
      </c>
      <c r="CG8" s="18" t="str">
        <f t="shared" si="14"/>
        <v/>
      </c>
      <c r="CH8" s="18" t="str">
        <f t="shared" si="14"/>
        <v/>
      </c>
      <c r="CI8" s="18" t="str">
        <f t="shared" si="14"/>
        <v/>
      </c>
      <c r="CJ8" s="18" t="str">
        <f t="shared" si="14"/>
        <v/>
      </c>
      <c r="CK8" s="18" t="str">
        <f t="shared" si="14"/>
        <v/>
      </c>
      <c r="CL8" s="18" t="str">
        <f t="shared" si="14"/>
        <v/>
      </c>
      <c r="CM8" s="18" t="str">
        <f t="shared" si="14"/>
        <v/>
      </c>
      <c r="CN8" s="18" t="str">
        <f t="shared" si="14"/>
        <v/>
      </c>
      <c r="CO8" s="18" t="str">
        <f t="shared" si="14"/>
        <v/>
      </c>
      <c r="CP8" s="18" t="str">
        <f t="shared" si="14"/>
        <v/>
      </c>
      <c r="CQ8" s="18" t="str">
        <f t="shared" si="14"/>
        <v/>
      </c>
      <c r="CR8" s="18" t="str">
        <f t="shared" si="14"/>
        <v/>
      </c>
      <c r="CS8" s="18" t="str">
        <f t="shared" si="14"/>
        <v/>
      </c>
      <c r="CT8" s="18" t="str">
        <f t="shared" si="14"/>
        <v/>
      </c>
      <c r="CU8" s="18" t="str">
        <f t="shared" si="14"/>
        <v/>
      </c>
      <c r="CV8" s="18" t="str">
        <f t="shared" si="14"/>
        <v/>
      </c>
      <c r="CW8" s="18" t="str">
        <f t="shared" si="14"/>
        <v/>
      </c>
      <c r="CX8" s="18" t="str">
        <f t="shared" si="14"/>
        <v/>
      </c>
      <c r="CY8" s="18" t="str">
        <f t="shared" si="14"/>
        <v/>
      </c>
      <c r="CZ8" s="18" t="str">
        <f t="shared" si="14"/>
        <v/>
      </c>
    </row>
    <row r="9" spans="1:104" ht="15" customHeight="1" x14ac:dyDescent="0.3">
      <c r="A9" s="3"/>
      <c r="B9" s="2"/>
      <c r="C9" s="3"/>
      <c r="D9" s="3"/>
      <c r="E9" s="3"/>
      <c r="F9" s="19"/>
      <c r="J9" s="20"/>
      <c r="K9" s="20"/>
      <c r="L9" s="21">
        <v>45908</v>
      </c>
      <c r="M9" s="21">
        <v>45914</v>
      </c>
      <c r="N9" s="18" t="str">
        <f t="shared" ref="N9:AS9" si="15">IF(AND($L9&lt;=N$4,$M9&gt;=N$4),"y","")</f>
        <v>y</v>
      </c>
      <c r="O9" s="18" t="str">
        <f t="shared" si="15"/>
        <v>y</v>
      </c>
      <c r="P9" s="18" t="str">
        <f t="shared" si="15"/>
        <v>y</v>
      </c>
      <c r="Q9" s="18" t="str">
        <f t="shared" si="15"/>
        <v>y</v>
      </c>
      <c r="R9" s="18" t="str">
        <f t="shared" si="15"/>
        <v>y</v>
      </c>
      <c r="S9" s="18" t="str">
        <f t="shared" si="15"/>
        <v>y</v>
      </c>
      <c r="T9" s="18" t="str">
        <f t="shared" si="15"/>
        <v>y</v>
      </c>
      <c r="U9" s="18" t="str">
        <f t="shared" si="15"/>
        <v/>
      </c>
      <c r="V9" s="18" t="str">
        <f t="shared" si="15"/>
        <v/>
      </c>
      <c r="W9" s="18" t="str">
        <f t="shared" si="15"/>
        <v/>
      </c>
      <c r="X9" s="18" t="str">
        <f t="shared" si="15"/>
        <v/>
      </c>
      <c r="Y9" s="18" t="str">
        <f t="shared" si="15"/>
        <v/>
      </c>
      <c r="Z9" s="18" t="str">
        <f t="shared" si="15"/>
        <v/>
      </c>
      <c r="AA9" s="18" t="str">
        <f t="shared" si="15"/>
        <v/>
      </c>
      <c r="AB9" s="18" t="str">
        <f t="shared" si="15"/>
        <v/>
      </c>
      <c r="AC9" s="18" t="str">
        <f t="shared" si="15"/>
        <v/>
      </c>
      <c r="AD9" s="18" t="str">
        <f t="shared" si="15"/>
        <v/>
      </c>
      <c r="AE9" s="18" t="str">
        <f t="shared" si="15"/>
        <v/>
      </c>
      <c r="AF9" s="18" t="str">
        <f t="shared" si="15"/>
        <v/>
      </c>
      <c r="AG9" s="18" t="str">
        <f t="shared" si="15"/>
        <v/>
      </c>
      <c r="AH9" s="18" t="str">
        <f t="shared" si="15"/>
        <v/>
      </c>
      <c r="AI9" s="18" t="str">
        <f t="shared" si="15"/>
        <v/>
      </c>
      <c r="AJ9" s="18" t="str">
        <f t="shared" si="15"/>
        <v/>
      </c>
      <c r="AK9" s="18" t="str">
        <f t="shared" si="15"/>
        <v/>
      </c>
      <c r="AL9" s="18" t="str">
        <f t="shared" si="15"/>
        <v/>
      </c>
      <c r="AM9" s="18" t="str">
        <f t="shared" si="15"/>
        <v/>
      </c>
      <c r="AN9" s="18" t="str">
        <f t="shared" si="15"/>
        <v/>
      </c>
      <c r="AO9" s="18" t="str">
        <f t="shared" si="15"/>
        <v/>
      </c>
      <c r="AP9" s="18" t="str">
        <f t="shared" si="15"/>
        <v/>
      </c>
      <c r="AQ9" s="18" t="str">
        <f t="shared" si="15"/>
        <v/>
      </c>
      <c r="AR9" s="18" t="str">
        <f t="shared" si="15"/>
        <v/>
      </c>
      <c r="AS9" s="18" t="str">
        <f t="shared" si="15"/>
        <v/>
      </c>
      <c r="AT9" s="18" t="str">
        <f t="shared" ref="AT9:BY9" si="16">IF(AND($L9&lt;=AT$4,$M9&gt;=AT$4),"y","")</f>
        <v/>
      </c>
      <c r="AU9" s="18" t="str">
        <f t="shared" si="16"/>
        <v/>
      </c>
      <c r="AV9" s="18" t="str">
        <f t="shared" si="16"/>
        <v/>
      </c>
      <c r="AW9" s="18" t="str">
        <f t="shared" si="16"/>
        <v/>
      </c>
      <c r="AX9" s="18" t="str">
        <f t="shared" si="16"/>
        <v/>
      </c>
      <c r="AY9" s="18" t="str">
        <f t="shared" si="16"/>
        <v/>
      </c>
      <c r="AZ9" s="18" t="str">
        <f t="shared" si="16"/>
        <v/>
      </c>
      <c r="BA9" s="18" t="str">
        <f t="shared" si="16"/>
        <v/>
      </c>
      <c r="BB9" s="18" t="str">
        <f t="shared" si="16"/>
        <v/>
      </c>
      <c r="BC9" s="18" t="str">
        <f t="shared" si="16"/>
        <v/>
      </c>
      <c r="BD9" s="18" t="str">
        <f t="shared" si="16"/>
        <v/>
      </c>
      <c r="BE9" s="18" t="str">
        <f t="shared" si="16"/>
        <v/>
      </c>
      <c r="BF9" s="18" t="str">
        <f t="shared" si="16"/>
        <v/>
      </c>
      <c r="BG9" s="18" t="str">
        <f t="shared" si="16"/>
        <v/>
      </c>
      <c r="BH9" s="18" t="str">
        <f t="shared" si="16"/>
        <v/>
      </c>
      <c r="BI9" s="18" t="str">
        <f t="shared" si="16"/>
        <v/>
      </c>
      <c r="BJ9" s="18" t="str">
        <f t="shared" si="16"/>
        <v/>
      </c>
      <c r="BK9" s="18" t="str">
        <f t="shared" si="16"/>
        <v/>
      </c>
      <c r="BL9" s="18" t="str">
        <f t="shared" si="16"/>
        <v/>
      </c>
      <c r="BM9" s="18" t="str">
        <f t="shared" si="16"/>
        <v/>
      </c>
      <c r="BN9" s="18" t="str">
        <f t="shared" si="16"/>
        <v/>
      </c>
      <c r="BO9" s="18" t="str">
        <f t="shared" si="16"/>
        <v/>
      </c>
      <c r="BP9" s="18" t="str">
        <f t="shared" si="16"/>
        <v/>
      </c>
      <c r="BQ9" s="18" t="str">
        <f t="shared" si="16"/>
        <v/>
      </c>
      <c r="BR9" s="18" t="str">
        <f t="shared" si="16"/>
        <v/>
      </c>
      <c r="BS9" s="18" t="str">
        <f t="shared" si="16"/>
        <v/>
      </c>
      <c r="BT9" s="18" t="str">
        <f t="shared" si="16"/>
        <v/>
      </c>
      <c r="BU9" s="18" t="str">
        <f t="shared" si="16"/>
        <v/>
      </c>
      <c r="BV9" s="18" t="str">
        <f t="shared" si="16"/>
        <v/>
      </c>
      <c r="BW9" s="18" t="str">
        <f t="shared" si="16"/>
        <v/>
      </c>
      <c r="BX9" s="18" t="str">
        <f t="shared" si="16"/>
        <v/>
      </c>
      <c r="BY9" s="18" t="str">
        <f t="shared" si="16"/>
        <v/>
      </c>
      <c r="BZ9" s="18" t="str">
        <f t="shared" ref="BZ9:CZ9" si="17">IF(AND($L9&lt;=BZ$4,$M9&gt;=BZ$4),"y","")</f>
        <v/>
      </c>
      <c r="CA9" s="18" t="str">
        <f t="shared" si="17"/>
        <v/>
      </c>
      <c r="CB9" s="18" t="str">
        <f t="shared" si="17"/>
        <v/>
      </c>
      <c r="CC9" s="18" t="str">
        <f t="shared" si="17"/>
        <v/>
      </c>
      <c r="CD9" s="18" t="str">
        <f t="shared" si="17"/>
        <v/>
      </c>
      <c r="CE9" s="18" t="str">
        <f t="shared" si="17"/>
        <v/>
      </c>
      <c r="CF9" s="18" t="str">
        <f t="shared" si="17"/>
        <v/>
      </c>
      <c r="CG9" s="18" t="str">
        <f t="shared" si="17"/>
        <v/>
      </c>
      <c r="CH9" s="18" t="str">
        <f t="shared" si="17"/>
        <v/>
      </c>
      <c r="CI9" s="18" t="str">
        <f t="shared" si="17"/>
        <v/>
      </c>
      <c r="CJ9" s="18" t="str">
        <f t="shared" si="17"/>
        <v/>
      </c>
      <c r="CK9" s="18" t="str">
        <f t="shared" si="17"/>
        <v/>
      </c>
      <c r="CL9" s="18" t="str">
        <f t="shared" si="17"/>
        <v/>
      </c>
      <c r="CM9" s="18" t="str">
        <f t="shared" si="17"/>
        <v/>
      </c>
      <c r="CN9" s="18" t="str">
        <f t="shared" si="17"/>
        <v/>
      </c>
      <c r="CO9" s="18" t="str">
        <f t="shared" si="17"/>
        <v/>
      </c>
      <c r="CP9" s="18" t="str">
        <f t="shared" si="17"/>
        <v/>
      </c>
      <c r="CQ9" s="18" t="str">
        <f t="shared" si="17"/>
        <v/>
      </c>
      <c r="CR9" s="18" t="str">
        <f t="shared" si="17"/>
        <v/>
      </c>
      <c r="CS9" s="18" t="str">
        <f t="shared" si="17"/>
        <v/>
      </c>
      <c r="CT9" s="18" t="str">
        <f t="shared" si="17"/>
        <v/>
      </c>
      <c r="CU9" s="18" t="str">
        <f t="shared" si="17"/>
        <v/>
      </c>
      <c r="CV9" s="18" t="str">
        <f t="shared" si="17"/>
        <v/>
      </c>
      <c r="CW9" s="18" t="str">
        <f t="shared" si="17"/>
        <v/>
      </c>
      <c r="CX9" s="18" t="str">
        <f t="shared" si="17"/>
        <v/>
      </c>
      <c r="CY9" s="18" t="str">
        <f t="shared" si="17"/>
        <v/>
      </c>
      <c r="CZ9" s="18" t="str">
        <f t="shared" si="17"/>
        <v/>
      </c>
    </row>
    <row r="10" spans="1:104" ht="15" customHeight="1" x14ac:dyDescent="0.3">
      <c r="A10" s="3" t="s">
        <v>26</v>
      </c>
      <c r="B10" s="2" t="s">
        <v>22</v>
      </c>
      <c r="C10" s="3" t="s">
        <v>17</v>
      </c>
      <c r="D10" s="1" t="s">
        <v>27</v>
      </c>
      <c r="E10" s="1" t="s">
        <v>28</v>
      </c>
      <c r="F10" s="16" t="s">
        <v>20</v>
      </c>
      <c r="G10" s="15" t="s">
        <v>29</v>
      </c>
      <c r="H10" s="15" t="s">
        <v>29</v>
      </c>
      <c r="I10" s="15">
        <f>K10-J10+1</f>
        <v>7</v>
      </c>
      <c r="J10" s="17">
        <v>45915</v>
      </c>
      <c r="K10" s="17">
        <v>45921</v>
      </c>
      <c r="N10" s="18" t="str">
        <f t="shared" ref="N10:AS10" si="18">IF($D10="","",IF(AND($J10&lt;=N$4,$K10&gt;=N$4),"x",""))</f>
        <v/>
      </c>
      <c r="O10" s="18" t="str">
        <f t="shared" si="18"/>
        <v/>
      </c>
      <c r="P10" s="18" t="str">
        <f t="shared" si="18"/>
        <v/>
      </c>
      <c r="Q10" s="18" t="str">
        <f t="shared" si="18"/>
        <v/>
      </c>
      <c r="R10" s="18" t="str">
        <f t="shared" si="18"/>
        <v/>
      </c>
      <c r="S10" s="18" t="str">
        <f t="shared" si="18"/>
        <v/>
      </c>
      <c r="T10" s="18" t="str">
        <f t="shared" si="18"/>
        <v/>
      </c>
      <c r="U10" s="18" t="str">
        <f t="shared" si="18"/>
        <v>x</v>
      </c>
      <c r="V10" s="18" t="str">
        <f t="shared" si="18"/>
        <v>x</v>
      </c>
      <c r="W10" s="18" t="str">
        <f t="shared" si="18"/>
        <v>x</v>
      </c>
      <c r="X10" s="18" t="str">
        <f t="shared" si="18"/>
        <v>x</v>
      </c>
      <c r="Y10" s="18" t="str">
        <f t="shared" si="18"/>
        <v>x</v>
      </c>
      <c r="Z10" s="18" t="str">
        <f t="shared" si="18"/>
        <v>x</v>
      </c>
      <c r="AA10" s="18" t="str">
        <f t="shared" si="18"/>
        <v>x</v>
      </c>
      <c r="AB10" s="18" t="str">
        <f t="shared" si="18"/>
        <v/>
      </c>
      <c r="AC10" s="18" t="str">
        <f t="shared" si="18"/>
        <v/>
      </c>
      <c r="AD10" s="18" t="str">
        <f t="shared" si="18"/>
        <v/>
      </c>
      <c r="AE10" s="18" t="str">
        <f t="shared" si="18"/>
        <v/>
      </c>
      <c r="AF10" s="18" t="str">
        <f t="shared" si="18"/>
        <v/>
      </c>
      <c r="AG10" s="18" t="str">
        <f t="shared" si="18"/>
        <v/>
      </c>
      <c r="AH10" s="18" t="str">
        <f t="shared" si="18"/>
        <v/>
      </c>
      <c r="AI10" s="18" t="str">
        <f t="shared" si="18"/>
        <v/>
      </c>
      <c r="AJ10" s="18" t="str">
        <f t="shared" si="18"/>
        <v/>
      </c>
      <c r="AK10" s="18" t="str">
        <f t="shared" si="18"/>
        <v/>
      </c>
      <c r="AL10" s="18" t="str">
        <f t="shared" si="18"/>
        <v/>
      </c>
      <c r="AM10" s="18" t="str">
        <f t="shared" si="18"/>
        <v/>
      </c>
      <c r="AN10" s="18" t="str">
        <f t="shared" si="18"/>
        <v/>
      </c>
      <c r="AO10" s="18" t="str">
        <f t="shared" si="18"/>
        <v/>
      </c>
      <c r="AP10" s="18" t="str">
        <f t="shared" si="18"/>
        <v/>
      </c>
      <c r="AQ10" s="18" t="str">
        <f t="shared" si="18"/>
        <v/>
      </c>
      <c r="AR10" s="18" t="str">
        <f t="shared" si="18"/>
        <v/>
      </c>
      <c r="AS10" s="18" t="str">
        <f t="shared" si="18"/>
        <v/>
      </c>
      <c r="AT10" s="18" t="str">
        <f t="shared" ref="AT10:BY10" si="19">IF($D10="","",IF(AND($J10&lt;=AT$4,$K10&gt;=AT$4),"x",""))</f>
        <v/>
      </c>
      <c r="AU10" s="18" t="str">
        <f t="shared" si="19"/>
        <v/>
      </c>
      <c r="AV10" s="18" t="str">
        <f t="shared" si="19"/>
        <v/>
      </c>
      <c r="AW10" s="18" t="str">
        <f t="shared" si="19"/>
        <v/>
      </c>
      <c r="AX10" s="18" t="str">
        <f t="shared" si="19"/>
        <v/>
      </c>
      <c r="AY10" s="18" t="str">
        <f t="shared" si="19"/>
        <v/>
      </c>
      <c r="AZ10" s="18" t="str">
        <f t="shared" si="19"/>
        <v/>
      </c>
      <c r="BA10" s="18" t="str">
        <f t="shared" si="19"/>
        <v/>
      </c>
      <c r="BB10" s="18" t="str">
        <f t="shared" si="19"/>
        <v/>
      </c>
      <c r="BC10" s="18" t="str">
        <f t="shared" si="19"/>
        <v/>
      </c>
      <c r="BD10" s="18" t="str">
        <f t="shared" si="19"/>
        <v/>
      </c>
      <c r="BE10" s="18" t="str">
        <f t="shared" si="19"/>
        <v/>
      </c>
      <c r="BF10" s="18" t="str">
        <f t="shared" si="19"/>
        <v/>
      </c>
      <c r="BG10" s="18" t="str">
        <f t="shared" si="19"/>
        <v/>
      </c>
      <c r="BH10" s="18" t="str">
        <f t="shared" si="19"/>
        <v/>
      </c>
      <c r="BI10" s="18" t="str">
        <f t="shared" si="19"/>
        <v/>
      </c>
      <c r="BJ10" s="18" t="str">
        <f t="shared" si="19"/>
        <v/>
      </c>
      <c r="BK10" s="18" t="str">
        <f t="shared" si="19"/>
        <v/>
      </c>
      <c r="BL10" s="18" t="str">
        <f t="shared" si="19"/>
        <v/>
      </c>
      <c r="BM10" s="18" t="str">
        <f t="shared" si="19"/>
        <v/>
      </c>
      <c r="BN10" s="18" t="str">
        <f t="shared" si="19"/>
        <v/>
      </c>
      <c r="BO10" s="18" t="str">
        <f t="shared" si="19"/>
        <v/>
      </c>
      <c r="BP10" s="18" t="str">
        <f t="shared" si="19"/>
        <v/>
      </c>
      <c r="BQ10" s="18" t="str">
        <f t="shared" si="19"/>
        <v/>
      </c>
      <c r="BR10" s="18" t="str">
        <f t="shared" si="19"/>
        <v/>
      </c>
      <c r="BS10" s="18" t="str">
        <f t="shared" si="19"/>
        <v/>
      </c>
      <c r="BT10" s="18" t="str">
        <f t="shared" si="19"/>
        <v/>
      </c>
      <c r="BU10" s="18" t="str">
        <f t="shared" si="19"/>
        <v/>
      </c>
      <c r="BV10" s="18" t="str">
        <f t="shared" si="19"/>
        <v/>
      </c>
      <c r="BW10" s="18" t="str">
        <f t="shared" si="19"/>
        <v/>
      </c>
      <c r="BX10" s="18" t="str">
        <f t="shared" si="19"/>
        <v/>
      </c>
      <c r="BY10" s="18" t="str">
        <f t="shared" si="19"/>
        <v/>
      </c>
      <c r="BZ10" s="18" t="str">
        <f t="shared" ref="BZ10:CZ10" si="20">IF($D10="","",IF(AND($J10&lt;=BZ$4,$K10&gt;=BZ$4),"x",""))</f>
        <v/>
      </c>
      <c r="CA10" s="18" t="str">
        <f t="shared" si="20"/>
        <v/>
      </c>
      <c r="CB10" s="18" t="str">
        <f t="shared" si="20"/>
        <v/>
      </c>
      <c r="CC10" s="18" t="str">
        <f t="shared" si="20"/>
        <v/>
      </c>
      <c r="CD10" s="18" t="str">
        <f t="shared" si="20"/>
        <v/>
      </c>
      <c r="CE10" s="18" t="str">
        <f t="shared" si="20"/>
        <v/>
      </c>
      <c r="CF10" s="18" t="str">
        <f t="shared" si="20"/>
        <v/>
      </c>
      <c r="CG10" s="18" t="str">
        <f t="shared" si="20"/>
        <v/>
      </c>
      <c r="CH10" s="18" t="str">
        <f t="shared" si="20"/>
        <v/>
      </c>
      <c r="CI10" s="18" t="str">
        <f t="shared" si="20"/>
        <v/>
      </c>
      <c r="CJ10" s="18" t="str">
        <f t="shared" si="20"/>
        <v/>
      </c>
      <c r="CK10" s="18" t="str">
        <f t="shared" si="20"/>
        <v/>
      </c>
      <c r="CL10" s="18" t="str">
        <f t="shared" si="20"/>
        <v/>
      </c>
      <c r="CM10" s="18" t="str">
        <f t="shared" si="20"/>
        <v/>
      </c>
      <c r="CN10" s="18" t="str">
        <f t="shared" si="20"/>
        <v/>
      </c>
      <c r="CO10" s="18" t="str">
        <f t="shared" si="20"/>
        <v/>
      </c>
      <c r="CP10" s="18" t="str">
        <f t="shared" si="20"/>
        <v/>
      </c>
      <c r="CQ10" s="18" t="str">
        <f t="shared" si="20"/>
        <v/>
      </c>
      <c r="CR10" s="18" t="str">
        <f t="shared" si="20"/>
        <v/>
      </c>
      <c r="CS10" s="18" t="str">
        <f t="shared" si="20"/>
        <v/>
      </c>
      <c r="CT10" s="18" t="str">
        <f t="shared" si="20"/>
        <v/>
      </c>
      <c r="CU10" s="18" t="str">
        <f t="shared" si="20"/>
        <v/>
      </c>
      <c r="CV10" s="18" t="str">
        <f t="shared" si="20"/>
        <v/>
      </c>
      <c r="CW10" s="18" t="str">
        <f t="shared" si="20"/>
        <v/>
      </c>
      <c r="CX10" s="18" t="str">
        <f t="shared" si="20"/>
        <v/>
      </c>
      <c r="CY10" s="18" t="str">
        <f t="shared" si="20"/>
        <v/>
      </c>
      <c r="CZ10" s="18" t="str">
        <f t="shared" si="20"/>
        <v/>
      </c>
    </row>
    <row r="11" spans="1:104" ht="15" customHeight="1" x14ac:dyDescent="0.3">
      <c r="A11" s="3"/>
      <c r="B11" s="2"/>
      <c r="C11" s="3"/>
      <c r="D11" s="3"/>
      <c r="E11" s="3"/>
      <c r="F11" s="19"/>
      <c r="J11" s="20"/>
      <c r="L11" s="21">
        <v>45915</v>
      </c>
      <c r="M11" s="21">
        <v>45921</v>
      </c>
      <c r="N11" s="18" t="str">
        <f t="shared" ref="N11:AS11" si="21">IF(AND($L11&lt;=N$4,$M11&gt;=N$4),"y","")</f>
        <v/>
      </c>
      <c r="O11" s="18" t="str">
        <f t="shared" si="21"/>
        <v/>
      </c>
      <c r="P11" s="18" t="str">
        <f t="shared" si="21"/>
        <v/>
      </c>
      <c r="Q11" s="18" t="str">
        <f t="shared" si="21"/>
        <v/>
      </c>
      <c r="R11" s="18" t="str">
        <f t="shared" si="21"/>
        <v/>
      </c>
      <c r="S11" s="18" t="str">
        <f t="shared" si="21"/>
        <v/>
      </c>
      <c r="T11" s="18" t="str">
        <f t="shared" si="21"/>
        <v/>
      </c>
      <c r="U11" s="18" t="str">
        <f t="shared" si="21"/>
        <v>y</v>
      </c>
      <c r="V11" s="18" t="str">
        <f t="shared" si="21"/>
        <v>y</v>
      </c>
      <c r="W11" s="18" t="str">
        <f t="shared" si="21"/>
        <v>y</v>
      </c>
      <c r="X11" s="18" t="str">
        <f t="shared" si="21"/>
        <v>y</v>
      </c>
      <c r="Y11" s="18" t="str">
        <f t="shared" si="21"/>
        <v>y</v>
      </c>
      <c r="Z11" s="18" t="str">
        <f t="shared" si="21"/>
        <v>y</v>
      </c>
      <c r="AA11" s="18" t="str">
        <f t="shared" si="21"/>
        <v>y</v>
      </c>
      <c r="AB11" s="18" t="str">
        <f t="shared" si="21"/>
        <v/>
      </c>
      <c r="AC11" s="18" t="str">
        <f t="shared" si="21"/>
        <v/>
      </c>
      <c r="AD11" s="18" t="str">
        <f t="shared" si="21"/>
        <v/>
      </c>
      <c r="AE11" s="18" t="str">
        <f t="shared" si="21"/>
        <v/>
      </c>
      <c r="AF11" s="18" t="str">
        <f t="shared" si="21"/>
        <v/>
      </c>
      <c r="AG11" s="18" t="str">
        <f t="shared" si="21"/>
        <v/>
      </c>
      <c r="AH11" s="18" t="str">
        <f t="shared" si="21"/>
        <v/>
      </c>
      <c r="AI11" s="18" t="str">
        <f t="shared" si="21"/>
        <v/>
      </c>
      <c r="AJ11" s="18" t="str">
        <f t="shared" si="21"/>
        <v/>
      </c>
      <c r="AK11" s="18" t="str">
        <f t="shared" si="21"/>
        <v/>
      </c>
      <c r="AL11" s="18" t="str">
        <f t="shared" si="21"/>
        <v/>
      </c>
      <c r="AM11" s="18" t="str">
        <f t="shared" si="21"/>
        <v/>
      </c>
      <c r="AN11" s="18" t="str">
        <f t="shared" si="21"/>
        <v/>
      </c>
      <c r="AO11" s="18" t="str">
        <f t="shared" si="21"/>
        <v/>
      </c>
      <c r="AP11" s="18" t="str">
        <f t="shared" si="21"/>
        <v/>
      </c>
      <c r="AQ11" s="18" t="str">
        <f t="shared" si="21"/>
        <v/>
      </c>
      <c r="AR11" s="18" t="str">
        <f t="shared" si="21"/>
        <v/>
      </c>
      <c r="AS11" s="18" t="str">
        <f t="shared" si="21"/>
        <v/>
      </c>
      <c r="AT11" s="18" t="str">
        <f t="shared" ref="AT11:BY11" si="22">IF(AND($L11&lt;=AT$4,$M11&gt;=AT$4),"y","")</f>
        <v/>
      </c>
      <c r="AU11" s="18" t="str">
        <f t="shared" si="22"/>
        <v/>
      </c>
      <c r="AV11" s="18" t="str">
        <f t="shared" si="22"/>
        <v/>
      </c>
      <c r="AW11" s="18" t="str">
        <f t="shared" si="22"/>
        <v/>
      </c>
      <c r="AX11" s="18" t="str">
        <f t="shared" si="22"/>
        <v/>
      </c>
      <c r="AY11" s="18" t="str">
        <f t="shared" si="22"/>
        <v/>
      </c>
      <c r="AZ11" s="18" t="str">
        <f t="shared" si="22"/>
        <v/>
      </c>
      <c r="BA11" s="18" t="str">
        <f t="shared" si="22"/>
        <v/>
      </c>
      <c r="BB11" s="18" t="str">
        <f t="shared" si="22"/>
        <v/>
      </c>
      <c r="BC11" s="18" t="str">
        <f t="shared" si="22"/>
        <v/>
      </c>
      <c r="BD11" s="18" t="str">
        <f t="shared" si="22"/>
        <v/>
      </c>
      <c r="BE11" s="18" t="str">
        <f t="shared" si="22"/>
        <v/>
      </c>
      <c r="BF11" s="18" t="str">
        <f t="shared" si="22"/>
        <v/>
      </c>
      <c r="BG11" s="18" t="str">
        <f t="shared" si="22"/>
        <v/>
      </c>
      <c r="BH11" s="18" t="str">
        <f t="shared" si="22"/>
        <v/>
      </c>
      <c r="BI11" s="18" t="str">
        <f t="shared" si="22"/>
        <v/>
      </c>
      <c r="BJ11" s="18" t="str">
        <f t="shared" si="22"/>
        <v/>
      </c>
      <c r="BK11" s="18" t="str">
        <f t="shared" si="22"/>
        <v/>
      </c>
      <c r="BL11" s="18" t="str">
        <f t="shared" si="22"/>
        <v/>
      </c>
      <c r="BM11" s="18" t="str">
        <f t="shared" si="22"/>
        <v/>
      </c>
      <c r="BN11" s="18" t="str">
        <f t="shared" si="22"/>
        <v/>
      </c>
      <c r="BO11" s="18" t="str">
        <f t="shared" si="22"/>
        <v/>
      </c>
      <c r="BP11" s="18" t="str">
        <f t="shared" si="22"/>
        <v/>
      </c>
      <c r="BQ11" s="18" t="str">
        <f t="shared" si="22"/>
        <v/>
      </c>
      <c r="BR11" s="18" t="str">
        <f t="shared" si="22"/>
        <v/>
      </c>
      <c r="BS11" s="18" t="str">
        <f t="shared" si="22"/>
        <v/>
      </c>
      <c r="BT11" s="18" t="str">
        <f t="shared" si="22"/>
        <v/>
      </c>
      <c r="BU11" s="18" t="str">
        <f t="shared" si="22"/>
        <v/>
      </c>
      <c r="BV11" s="18" t="str">
        <f t="shared" si="22"/>
        <v/>
      </c>
      <c r="BW11" s="18" t="str">
        <f t="shared" si="22"/>
        <v/>
      </c>
      <c r="BX11" s="18" t="str">
        <f t="shared" si="22"/>
        <v/>
      </c>
      <c r="BY11" s="18" t="str">
        <f t="shared" si="22"/>
        <v/>
      </c>
      <c r="BZ11" s="18" t="str">
        <f t="shared" ref="BZ11:CZ11" si="23">IF(AND($L11&lt;=BZ$4,$M11&gt;=BZ$4),"y","")</f>
        <v/>
      </c>
      <c r="CA11" s="18" t="str">
        <f t="shared" si="23"/>
        <v/>
      </c>
      <c r="CB11" s="18" t="str">
        <f t="shared" si="23"/>
        <v/>
      </c>
      <c r="CC11" s="18" t="str">
        <f t="shared" si="23"/>
        <v/>
      </c>
      <c r="CD11" s="18" t="str">
        <f t="shared" si="23"/>
        <v/>
      </c>
      <c r="CE11" s="18" t="str">
        <f t="shared" si="23"/>
        <v/>
      </c>
      <c r="CF11" s="18" t="str">
        <f t="shared" si="23"/>
        <v/>
      </c>
      <c r="CG11" s="18" t="str">
        <f t="shared" si="23"/>
        <v/>
      </c>
      <c r="CH11" s="18" t="str">
        <f t="shared" si="23"/>
        <v/>
      </c>
      <c r="CI11" s="18" t="str">
        <f t="shared" si="23"/>
        <v/>
      </c>
      <c r="CJ11" s="18" t="str">
        <f t="shared" si="23"/>
        <v/>
      </c>
      <c r="CK11" s="18" t="str">
        <f t="shared" si="23"/>
        <v/>
      </c>
      <c r="CL11" s="18" t="str">
        <f t="shared" si="23"/>
        <v/>
      </c>
      <c r="CM11" s="18" t="str">
        <f t="shared" si="23"/>
        <v/>
      </c>
      <c r="CN11" s="18" t="str">
        <f t="shared" si="23"/>
        <v/>
      </c>
      <c r="CO11" s="18" t="str">
        <f t="shared" si="23"/>
        <v/>
      </c>
      <c r="CP11" s="18" t="str">
        <f t="shared" si="23"/>
        <v/>
      </c>
      <c r="CQ11" s="18" t="str">
        <f t="shared" si="23"/>
        <v/>
      </c>
      <c r="CR11" s="18" t="str">
        <f t="shared" si="23"/>
        <v/>
      </c>
      <c r="CS11" s="18" t="str">
        <f t="shared" si="23"/>
        <v/>
      </c>
      <c r="CT11" s="18" t="str">
        <f t="shared" si="23"/>
        <v/>
      </c>
      <c r="CU11" s="18" t="str">
        <f t="shared" si="23"/>
        <v/>
      </c>
      <c r="CV11" s="18" t="str">
        <f t="shared" si="23"/>
        <v/>
      </c>
      <c r="CW11" s="18" t="str">
        <f t="shared" si="23"/>
        <v/>
      </c>
      <c r="CX11" s="18" t="str">
        <f t="shared" si="23"/>
        <v/>
      </c>
      <c r="CY11" s="18" t="str">
        <f t="shared" si="23"/>
        <v/>
      </c>
      <c r="CZ11" s="18" t="str">
        <f t="shared" si="23"/>
        <v/>
      </c>
    </row>
    <row r="12" spans="1:104" ht="21.75" customHeight="1" x14ac:dyDescent="0.3">
      <c r="A12" s="4" t="s">
        <v>30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10"/>
    </row>
    <row r="13" spans="1:104" ht="15" customHeight="1" x14ac:dyDescent="0.3">
      <c r="A13" s="3" t="s">
        <v>31</v>
      </c>
      <c r="B13" s="2" t="s">
        <v>26</v>
      </c>
      <c r="C13" s="3" t="s">
        <v>32</v>
      </c>
      <c r="D13" s="1" t="s">
        <v>33</v>
      </c>
      <c r="E13" s="1" t="s">
        <v>34</v>
      </c>
      <c r="F13" s="16" t="s">
        <v>25</v>
      </c>
      <c r="G13" s="15" t="s">
        <v>29</v>
      </c>
      <c r="H13" s="15" t="s">
        <v>29</v>
      </c>
      <c r="I13" s="15">
        <f>K13-J13+1</f>
        <v>7</v>
      </c>
      <c r="J13" s="17">
        <v>45915</v>
      </c>
      <c r="K13" s="17">
        <v>45921</v>
      </c>
      <c r="N13" s="18" t="str">
        <f t="shared" ref="N13:AS13" si="24">IF($D13="","",IF(AND($J13&lt;=N$4,$K13&gt;=N$4),"x",""))</f>
        <v/>
      </c>
      <c r="O13" s="18" t="str">
        <f t="shared" si="24"/>
        <v/>
      </c>
      <c r="P13" s="18" t="str">
        <f t="shared" si="24"/>
        <v/>
      </c>
      <c r="Q13" s="18" t="str">
        <f t="shared" si="24"/>
        <v/>
      </c>
      <c r="R13" s="18" t="str">
        <f t="shared" si="24"/>
        <v/>
      </c>
      <c r="S13" s="18" t="str">
        <f t="shared" si="24"/>
        <v/>
      </c>
      <c r="T13" s="18" t="str">
        <f t="shared" si="24"/>
        <v/>
      </c>
      <c r="U13" s="18" t="str">
        <f t="shared" si="24"/>
        <v>x</v>
      </c>
      <c r="V13" s="18" t="str">
        <f t="shared" si="24"/>
        <v>x</v>
      </c>
      <c r="W13" s="18" t="str">
        <f t="shared" si="24"/>
        <v>x</v>
      </c>
      <c r="X13" s="18" t="str">
        <f t="shared" si="24"/>
        <v>x</v>
      </c>
      <c r="Y13" s="18" t="str">
        <f t="shared" si="24"/>
        <v>x</v>
      </c>
      <c r="Z13" s="18" t="str">
        <f t="shared" si="24"/>
        <v>x</v>
      </c>
      <c r="AA13" s="18" t="str">
        <f t="shared" si="24"/>
        <v>x</v>
      </c>
      <c r="AB13" s="18" t="str">
        <f t="shared" si="24"/>
        <v/>
      </c>
      <c r="AC13" s="18" t="str">
        <f t="shared" si="24"/>
        <v/>
      </c>
      <c r="AD13" s="18" t="str">
        <f t="shared" si="24"/>
        <v/>
      </c>
      <c r="AE13" s="18" t="str">
        <f t="shared" si="24"/>
        <v/>
      </c>
      <c r="AF13" s="18" t="str">
        <f t="shared" si="24"/>
        <v/>
      </c>
      <c r="AG13" s="18" t="str">
        <f t="shared" si="24"/>
        <v/>
      </c>
      <c r="AH13" s="18" t="str">
        <f t="shared" si="24"/>
        <v/>
      </c>
      <c r="AI13" s="18" t="str">
        <f t="shared" si="24"/>
        <v/>
      </c>
      <c r="AJ13" s="18" t="str">
        <f t="shared" si="24"/>
        <v/>
      </c>
      <c r="AK13" s="18" t="str">
        <f t="shared" si="24"/>
        <v/>
      </c>
      <c r="AL13" s="18" t="str">
        <f t="shared" si="24"/>
        <v/>
      </c>
      <c r="AM13" s="18" t="str">
        <f t="shared" si="24"/>
        <v/>
      </c>
      <c r="AN13" s="18" t="str">
        <f t="shared" si="24"/>
        <v/>
      </c>
      <c r="AO13" s="18" t="str">
        <f t="shared" si="24"/>
        <v/>
      </c>
      <c r="AP13" s="18" t="str">
        <f t="shared" si="24"/>
        <v/>
      </c>
      <c r="AQ13" s="18" t="str">
        <f t="shared" si="24"/>
        <v/>
      </c>
      <c r="AR13" s="18" t="str">
        <f t="shared" si="24"/>
        <v/>
      </c>
      <c r="AS13" s="18" t="str">
        <f t="shared" si="24"/>
        <v/>
      </c>
      <c r="AT13" s="18" t="str">
        <f t="shared" ref="AT13:BY13" si="25">IF($D13="","",IF(AND($J13&lt;=AT$4,$K13&gt;=AT$4),"x",""))</f>
        <v/>
      </c>
      <c r="AU13" s="18" t="str">
        <f t="shared" si="25"/>
        <v/>
      </c>
      <c r="AV13" s="18" t="str">
        <f t="shared" si="25"/>
        <v/>
      </c>
      <c r="AW13" s="18" t="str">
        <f t="shared" si="25"/>
        <v/>
      </c>
      <c r="AX13" s="18" t="str">
        <f t="shared" si="25"/>
        <v/>
      </c>
      <c r="AY13" s="18" t="str">
        <f t="shared" si="25"/>
        <v/>
      </c>
      <c r="AZ13" s="18" t="str">
        <f t="shared" si="25"/>
        <v/>
      </c>
      <c r="BA13" s="18" t="str">
        <f t="shared" si="25"/>
        <v/>
      </c>
      <c r="BB13" s="18" t="str">
        <f t="shared" si="25"/>
        <v/>
      </c>
      <c r="BC13" s="18" t="str">
        <f t="shared" si="25"/>
        <v/>
      </c>
      <c r="BD13" s="18" t="str">
        <f t="shared" si="25"/>
        <v/>
      </c>
      <c r="BE13" s="18" t="str">
        <f t="shared" si="25"/>
        <v/>
      </c>
      <c r="BF13" s="18" t="str">
        <f t="shared" si="25"/>
        <v/>
      </c>
      <c r="BG13" s="18" t="str">
        <f t="shared" si="25"/>
        <v/>
      </c>
      <c r="BH13" s="18" t="str">
        <f t="shared" si="25"/>
        <v/>
      </c>
      <c r="BI13" s="18" t="str">
        <f t="shared" si="25"/>
        <v/>
      </c>
      <c r="BJ13" s="18" t="str">
        <f t="shared" si="25"/>
        <v/>
      </c>
      <c r="BK13" s="18" t="str">
        <f t="shared" si="25"/>
        <v/>
      </c>
      <c r="BL13" s="18" t="str">
        <f t="shared" si="25"/>
        <v/>
      </c>
      <c r="BM13" s="18" t="str">
        <f t="shared" si="25"/>
        <v/>
      </c>
      <c r="BN13" s="18" t="str">
        <f t="shared" si="25"/>
        <v/>
      </c>
      <c r="BO13" s="18" t="str">
        <f t="shared" si="25"/>
        <v/>
      </c>
      <c r="BP13" s="18" t="str">
        <f t="shared" si="25"/>
        <v/>
      </c>
      <c r="BQ13" s="18" t="str">
        <f t="shared" si="25"/>
        <v/>
      </c>
      <c r="BR13" s="18" t="str">
        <f t="shared" si="25"/>
        <v/>
      </c>
      <c r="BS13" s="18" t="str">
        <f t="shared" si="25"/>
        <v/>
      </c>
      <c r="BT13" s="18" t="str">
        <f t="shared" si="25"/>
        <v/>
      </c>
      <c r="BU13" s="18" t="str">
        <f t="shared" si="25"/>
        <v/>
      </c>
      <c r="BV13" s="18" t="str">
        <f t="shared" si="25"/>
        <v/>
      </c>
      <c r="BW13" s="18" t="str">
        <f t="shared" si="25"/>
        <v/>
      </c>
      <c r="BX13" s="18" t="str">
        <f t="shared" si="25"/>
        <v/>
      </c>
      <c r="BY13" s="18" t="str">
        <f t="shared" si="25"/>
        <v/>
      </c>
      <c r="BZ13" s="18" t="str">
        <f t="shared" ref="BZ13:CZ13" si="26">IF($D13="","",IF(AND($J13&lt;=BZ$4,$K13&gt;=BZ$4),"x",""))</f>
        <v/>
      </c>
      <c r="CA13" s="18" t="str">
        <f t="shared" si="26"/>
        <v/>
      </c>
      <c r="CB13" s="18" t="str">
        <f t="shared" si="26"/>
        <v/>
      </c>
      <c r="CC13" s="18" t="str">
        <f t="shared" si="26"/>
        <v/>
      </c>
      <c r="CD13" s="18" t="str">
        <f t="shared" si="26"/>
        <v/>
      </c>
      <c r="CE13" s="18" t="str">
        <f t="shared" si="26"/>
        <v/>
      </c>
      <c r="CF13" s="18" t="str">
        <f t="shared" si="26"/>
        <v/>
      </c>
      <c r="CG13" s="18" t="str">
        <f t="shared" si="26"/>
        <v/>
      </c>
      <c r="CH13" s="18" t="str">
        <f t="shared" si="26"/>
        <v/>
      </c>
      <c r="CI13" s="18" t="str">
        <f t="shared" si="26"/>
        <v/>
      </c>
      <c r="CJ13" s="18" t="str">
        <f t="shared" si="26"/>
        <v/>
      </c>
      <c r="CK13" s="18" t="str">
        <f t="shared" si="26"/>
        <v/>
      </c>
      <c r="CL13" s="18" t="str">
        <f t="shared" si="26"/>
        <v/>
      </c>
      <c r="CM13" s="18" t="str">
        <f t="shared" si="26"/>
        <v/>
      </c>
      <c r="CN13" s="18" t="str">
        <f t="shared" si="26"/>
        <v/>
      </c>
      <c r="CO13" s="18" t="str">
        <f t="shared" si="26"/>
        <v/>
      </c>
      <c r="CP13" s="18" t="str">
        <f t="shared" si="26"/>
        <v/>
      </c>
      <c r="CQ13" s="18" t="str">
        <f t="shared" si="26"/>
        <v/>
      </c>
      <c r="CR13" s="18" t="str">
        <f t="shared" si="26"/>
        <v/>
      </c>
      <c r="CS13" s="18" t="str">
        <f t="shared" si="26"/>
        <v/>
      </c>
      <c r="CT13" s="18" t="str">
        <f t="shared" si="26"/>
        <v/>
      </c>
      <c r="CU13" s="18" t="str">
        <f t="shared" si="26"/>
        <v/>
      </c>
      <c r="CV13" s="18" t="str">
        <f t="shared" si="26"/>
        <v/>
      </c>
      <c r="CW13" s="18" t="str">
        <f t="shared" si="26"/>
        <v/>
      </c>
      <c r="CX13" s="18" t="str">
        <f t="shared" si="26"/>
        <v/>
      </c>
      <c r="CY13" s="18" t="str">
        <f t="shared" si="26"/>
        <v/>
      </c>
      <c r="CZ13" s="18" t="str">
        <f t="shared" si="26"/>
        <v/>
      </c>
    </row>
    <row r="14" spans="1:104" ht="15" customHeight="1" x14ac:dyDescent="0.3">
      <c r="A14" s="3"/>
      <c r="B14" s="2"/>
      <c r="C14" s="3"/>
      <c r="D14" s="3"/>
      <c r="E14" s="3"/>
      <c r="F14" s="19"/>
      <c r="J14" s="20"/>
      <c r="K14" s="20"/>
      <c r="L14" s="21">
        <v>45915</v>
      </c>
      <c r="M14" s="21">
        <v>45921</v>
      </c>
      <c r="N14" s="18" t="str">
        <f t="shared" ref="N14:AS14" si="27">IF(AND($L14&lt;=N$4,$M14&gt;=N$4),"y","")</f>
        <v/>
      </c>
      <c r="O14" s="18" t="str">
        <f t="shared" si="27"/>
        <v/>
      </c>
      <c r="P14" s="18" t="str">
        <f t="shared" si="27"/>
        <v/>
      </c>
      <c r="Q14" s="18" t="str">
        <f t="shared" si="27"/>
        <v/>
      </c>
      <c r="R14" s="18" t="str">
        <f t="shared" si="27"/>
        <v/>
      </c>
      <c r="S14" s="18" t="str">
        <f t="shared" si="27"/>
        <v/>
      </c>
      <c r="T14" s="18" t="str">
        <f t="shared" si="27"/>
        <v/>
      </c>
      <c r="U14" s="18" t="str">
        <f t="shared" si="27"/>
        <v>y</v>
      </c>
      <c r="V14" s="18" t="str">
        <f t="shared" si="27"/>
        <v>y</v>
      </c>
      <c r="W14" s="18" t="str">
        <f t="shared" si="27"/>
        <v>y</v>
      </c>
      <c r="X14" s="18" t="str">
        <f t="shared" si="27"/>
        <v>y</v>
      </c>
      <c r="Y14" s="18" t="str">
        <f t="shared" si="27"/>
        <v>y</v>
      </c>
      <c r="Z14" s="18" t="str">
        <f t="shared" si="27"/>
        <v>y</v>
      </c>
      <c r="AA14" s="18" t="str">
        <f t="shared" si="27"/>
        <v>y</v>
      </c>
      <c r="AB14" s="18" t="str">
        <f t="shared" si="27"/>
        <v/>
      </c>
      <c r="AC14" s="18" t="str">
        <f t="shared" si="27"/>
        <v/>
      </c>
      <c r="AD14" s="18" t="str">
        <f t="shared" si="27"/>
        <v/>
      </c>
      <c r="AE14" s="18" t="str">
        <f t="shared" si="27"/>
        <v/>
      </c>
      <c r="AF14" s="18" t="str">
        <f t="shared" si="27"/>
        <v/>
      </c>
      <c r="AG14" s="18" t="str">
        <f t="shared" si="27"/>
        <v/>
      </c>
      <c r="AH14" s="18" t="str">
        <f t="shared" si="27"/>
        <v/>
      </c>
      <c r="AI14" s="18" t="str">
        <f t="shared" si="27"/>
        <v/>
      </c>
      <c r="AJ14" s="18" t="str">
        <f t="shared" si="27"/>
        <v/>
      </c>
      <c r="AK14" s="18" t="str">
        <f t="shared" si="27"/>
        <v/>
      </c>
      <c r="AL14" s="18" t="str">
        <f t="shared" si="27"/>
        <v/>
      </c>
      <c r="AM14" s="18" t="str">
        <f t="shared" si="27"/>
        <v/>
      </c>
      <c r="AN14" s="18" t="str">
        <f t="shared" si="27"/>
        <v/>
      </c>
      <c r="AO14" s="18" t="str">
        <f t="shared" si="27"/>
        <v/>
      </c>
      <c r="AP14" s="18" t="str">
        <f t="shared" si="27"/>
        <v/>
      </c>
      <c r="AQ14" s="18" t="str">
        <f t="shared" si="27"/>
        <v/>
      </c>
      <c r="AR14" s="18" t="str">
        <f t="shared" si="27"/>
        <v/>
      </c>
      <c r="AS14" s="18" t="str">
        <f t="shared" si="27"/>
        <v/>
      </c>
      <c r="AT14" s="18" t="str">
        <f t="shared" ref="AT14:BY14" si="28">IF(AND($L14&lt;=AT$4,$M14&gt;=AT$4),"y","")</f>
        <v/>
      </c>
      <c r="AU14" s="18" t="str">
        <f t="shared" si="28"/>
        <v/>
      </c>
      <c r="AV14" s="18" t="str">
        <f t="shared" si="28"/>
        <v/>
      </c>
      <c r="AW14" s="18" t="str">
        <f t="shared" si="28"/>
        <v/>
      </c>
      <c r="AX14" s="18" t="str">
        <f t="shared" si="28"/>
        <v/>
      </c>
      <c r="AY14" s="18" t="str">
        <f t="shared" si="28"/>
        <v/>
      </c>
      <c r="AZ14" s="18" t="str">
        <f t="shared" si="28"/>
        <v/>
      </c>
      <c r="BA14" s="18" t="str">
        <f t="shared" si="28"/>
        <v/>
      </c>
      <c r="BB14" s="18" t="str">
        <f t="shared" si="28"/>
        <v/>
      </c>
      <c r="BC14" s="18" t="str">
        <f t="shared" si="28"/>
        <v/>
      </c>
      <c r="BD14" s="18" t="str">
        <f t="shared" si="28"/>
        <v/>
      </c>
      <c r="BE14" s="18" t="str">
        <f t="shared" si="28"/>
        <v/>
      </c>
      <c r="BF14" s="18" t="str">
        <f t="shared" si="28"/>
        <v/>
      </c>
      <c r="BG14" s="18" t="str">
        <f t="shared" si="28"/>
        <v/>
      </c>
      <c r="BH14" s="18" t="str">
        <f t="shared" si="28"/>
        <v/>
      </c>
      <c r="BI14" s="18" t="str">
        <f t="shared" si="28"/>
        <v/>
      </c>
      <c r="BJ14" s="18" t="str">
        <f t="shared" si="28"/>
        <v/>
      </c>
      <c r="BK14" s="18" t="str">
        <f t="shared" si="28"/>
        <v/>
      </c>
      <c r="BL14" s="18" t="str">
        <f t="shared" si="28"/>
        <v/>
      </c>
      <c r="BM14" s="18" t="str">
        <f t="shared" si="28"/>
        <v/>
      </c>
      <c r="BN14" s="18" t="str">
        <f t="shared" si="28"/>
        <v/>
      </c>
      <c r="BO14" s="18" t="str">
        <f t="shared" si="28"/>
        <v/>
      </c>
      <c r="BP14" s="18" t="str">
        <f t="shared" si="28"/>
        <v/>
      </c>
      <c r="BQ14" s="18" t="str">
        <f t="shared" si="28"/>
        <v/>
      </c>
      <c r="BR14" s="18" t="str">
        <f t="shared" si="28"/>
        <v/>
      </c>
      <c r="BS14" s="18" t="str">
        <f t="shared" si="28"/>
        <v/>
      </c>
      <c r="BT14" s="18" t="str">
        <f t="shared" si="28"/>
        <v/>
      </c>
      <c r="BU14" s="18" t="str">
        <f t="shared" si="28"/>
        <v/>
      </c>
      <c r="BV14" s="18" t="str">
        <f t="shared" si="28"/>
        <v/>
      </c>
      <c r="BW14" s="18" t="str">
        <f t="shared" si="28"/>
        <v/>
      </c>
      <c r="BX14" s="18" t="str">
        <f t="shared" si="28"/>
        <v/>
      </c>
      <c r="BY14" s="18" t="str">
        <f t="shared" si="28"/>
        <v/>
      </c>
      <c r="BZ14" s="18" t="str">
        <f t="shared" ref="BZ14:CZ14" si="29">IF(AND($L14&lt;=BZ$4,$M14&gt;=BZ$4),"y","")</f>
        <v/>
      </c>
      <c r="CA14" s="18" t="str">
        <f t="shared" si="29"/>
        <v/>
      </c>
      <c r="CB14" s="18" t="str">
        <f t="shared" si="29"/>
        <v/>
      </c>
      <c r="CC14" s="18" t="str">
        <f t="shared" si="29"/>
        <v/>
      </c>
      <c r="CD14" s="18" t="str">
        <f t="shared" si="29"/>
        <v/>
      </c>
      <c r="CE14" s="18" t="str">
        <f t="shared" si="29"/>
        <v/>
      </c>
      <c r="CF14" s="18" t="str">
        <f t="shared" si="29"/>
        <v/>
      </c>
      <c r="CG14" s="18" t="str">
        <f t="shared" si="29"/>
        <v/>
      </c>
      <c r="CH14" s="18" t="str">
        <f t="shared" si="29"/>
        <v/>
      </c>
      <c r="CI14" s="18" t="str">
        <f t="shared" si="29"/>
        <v/>
      </c>
      <c r="CJ14" s="18" t="str">
        <f t="shared" si="29"/>
        <v/>
      </c>
      <c r="CK14" s="18" t="str">
        <f t="shared" si="29"/>
        <v/>
      </c>
      <c r="CL14" s="18" t="str">
        <f t="shared" si="29"/>
        <v/>
      </c>
      <c r="CM14" s="18" t="str">
        <f t="shared" si="29"/>
        <v/>
      </c>
      <c r="CN14" s="18" t="str">
        <f t="shared" si="29"/>
        <v/>
      </c>
      <c r="CO14" s="18" t="str">
        <f t="shared" si="29"/>
        <v/>
      </c>
      <c r="CP14" s="18" t="str">
        <f t="shared" si="29"/>
        <v/>
      </c>
      <c r="CQ14" s="18" t="str">
        <f t="shared" si="29"/>
        <v/>
      </c>
      <c r="CR14" s="18" t="str">
        <f t="shared" si="29"/>
        <v/>
      </c>
      <c r="CS14" s="18" t="str">
        <f t="shared" si="29"/>
        <v/>
      </c>
      <c r="CT14" s="18" t="str">
        <f t="shared" si="29"/>
        <v/>
      </c>
      <c r="CU14" s="18" t="str">
        <f t="shared" si="29"/>
        <v/>
      </c>
      <c r="CV14" s="18" t="str">
        <f t="shared" si="29"/>
        <v/>
      </c>
      <c r="CW14" s="18" t="str">
        <f t="shared" si="29"/>
        <v/>
      </c>
      <c r="CX14" s="18" t="str">
        <f t="shared" si="29"/>
        <v/>
      </c>
      <c r="CY14" s="18" t="str">
        <f t="shared" si="29"/>
        <v/>
      </c>
      <c r="CZ14" s="18" t="str">
        <f t="shared" si="29"/>
        <v/>
      </c>
    </row>
    <row r="15" spans="1:104" ht="15" customHeight="1" x14ac:dyDescent="0.3">
      <c r="A15" s="3" t="s">
        <v>35</v>
      </c>
      <c r="B15" s="2" t="s">
        <v>31</v>
      </c>
      <c r="C15" s="3" t="s">
        <v>32</v>
      </c>
      <c r="D15" s="1" t="s">
        <v>36</v>
      </c>
      <c r="E15" s="1" t="s">
        <v>37</v>
      </c>
      <c r="F15" s="16" t="s">
        <v>38</v>
      </c>
      <c r="G15" s="15" t="s">
        <v>39</v>
      </c>
      <c r="H15" s="15" t="s">
        <v>39</v>
      </c>
      <c r="I15" s="15">
        <f>K15-J15+1</f>
        <v>7</v>
      </c>
      <c r="J15" s="17">
        <v>45922</v>
      </c>
      <c r="K15" s="17">
        <v>45928</v>
      </c>
      <c r="N15" s="18" t="str">
        <f t="shared" ref="N15:AS15" si="30">IF($D15="","",IF(AND($J15&lt;=N$4,$K15&gt;=N$4),"x",""))</f>
        <v/>
      </c>
      <c r="O15" s="18" t="str">
        <f t="shared" si="30"/>
        <v/>
      </c>
      <c r="P15" s="18" t="str">
        <f t="shared" si="30"/>
        <v/>
      </c>
      <c r="Q15" s="18" t="str">
        <f t="shared" si="30"/>
        <v/>
      </c>
      <c r="R15" s="18" t="str">
        <f t="shared" si="30"/>
        <v/>
      </c>
      <c r="S15" s="18" t="str">
        <f t="shared" si="30"/>
        <v/>
      </c>
      <c r="T15" s="18" t="str">
        <f t="shared" si="30"/>
        <v/>
      </c>
      <c r="U15" s="18" t="str">
        <f t="shared" si="30"/>
        <v/>
      </c>
      <c r="V15" s="18" t="str">
        <f t="shared" si="30"/>
        <v/>
      </c>
      <c r="W15" s="18" t="str">
        <f t="shared" si="30"/>
        <v/>
      </c>
      <c r="X15" s="18" t="str">
        <f t="shared" si="30"/>
        <v/>
      </c>
      <c r="Y15" s="18" t="str">
        <f t="shared" si="30"/>
        <v/>
      </c>
      <c r="Z15" s="18" t="str">
        <f t="shared" si="30"/>
        <v/>
      </c>
      <c r="AA15" s="18" t="str">
        <f t="shared" si="30"/>
        <v/>
      </c>
      <c r="AB15" s="18" t="str">
        <f t="shared" si="30"/>
        <v>x</v>
      </c>
      <c r="AC15" s="18" t="str">
        <f t="shared" si="30"/>
        <v>x</v>
      </c>
      <c r="AD15" s="18" t="str">
        <f t="shared" si="30"/>
        <v>x</v>
      </c>
      <c r="AE15" s="18" t="str">
        <f t="shared" si="30"/>
        <v>x</v>
      </c>
      <c r="AF15" s="18" t="str">
        <f t="shared" si="30"/>
        <v>x</v>
      </c>
      <c r="AG15" s="18" t="str">
        <f t="shared" si="30"/>
        <v>x</v>
      </c>
      <c r="AH15" s="18" t="str">
        <f t="shared" si="30"/>
        <v>x</v>
      </c>
      <c r="AI15" s="18" t="str">
        <f t="shared" si="30"/>
        <v/>
      </c>
      <c r="AJ15" s="18" t="str">
        <f t="shared" si="30"/>
        <v/>
      </c>
      <c r="AK15" s="18" t="str">
        <f t="shared" si="30"/>
        <v/>
      </c>
      <c r="AL15" s="18" t="str">
        <f t="shared" si="30"/>
        <v/>
      </c>
      <c r="AM15" s="18" t="str">
        <f t="shared" si="30"/>
        <v/>
      </c>
      <c r="AN15" s="18" t="str">
        <f t="shared" si="30"/>
        <v/>
      </c>
      <c r="AO15" s="18" t="str">
        <f t="shared" si="30"/>
        <v/>
      </c>
      <c r="AP15" s="18" t="str">
        <f t="shared" si="30"/>
        <v/>
      </c>
      <c r="AQ15" s="18" t="str">
        <f t="shared" si="30"/>
        <v/>
      </c>
      <c r="AR15" s="18" t="str">
        <f t="shared" si="30"/>
        <v/>
      </c>
      <c r="AS15" s="18" t="str">
        <f t="shared" si="30"/>
        <v/>
      </c>
      <c r="AT15" s="18" t="str">
        <f t="shared" ref="AT15:BY15" si="31">IF($D15="","",IF(AND($J15&lt;=AT$4,$K15&gt;=AT$4),"x",""))</f>
        <v/>
      </c>
      <c r="AU15" s="18" t="str">
        <f t="shared" si="31"/>
        <v/>
      </c>
      <c r="AV15" s="18" t="str">
        <f t="shared" si="31"/>
        <v/>
      </c>
      <c r="AW15" s="18" t="str">
        <f t="shared" si="31"/>
        <v/>
      </c>
      <c r="AX15" s="18" t="str">
        <f t="shared" si="31"/>
        <v/>
      </c>
      <c r="AY15" s="18" t="str">
        <f t="shared" si="31"/>
        <v/>
      </c>
      <c r="AZ15" s="18" t="str">
        <f t="shared" si="31"/>
        <v/>
      </c>
      <c r="BA15" s="18" t="str">
        <f t="shared" si="31"/>
        <v/>
      </c>
      <c r="BB15" s="18" t="str">
        <f t="shared" si="31"/>
        <v/>
      </c>
      <c r="BC15" s="18" t="str">
        <f t="shared" si="31"/>
        <v/>
      </c>
      <c r="BD15" s="18" t="str">
        <f t="shared" si="31"/>
        <v/>
      </c>
      <c r="BE15" s="18" t="str">
        <f t="shared" si="31"/>
        <v/>
      </c>
      <c r="BF15" s="18" t="str">
        <f t="shared" si="31"/>
        <v/>
      </c>
      <c r="BG15" s="18" t="str">
        <f t="shared" si="31"/>
        <v/>
      </c>
      <c r="BH15" s="18" t="str">
        <f t="shared" si="31"/>
        <v/>
      </c>
      <c r="BI15" s="18" t="str">
        <f t="shared" si="31"/>
        <v/>
      </c>
      <c r="BJ15" s="18" t="str">
        <f t="shared" si="31"/>
        <v/>
      </c>
      <c r="BK15" s="18" t="str">
        <f t="shared" si="31"/>
        <v/>
      </c>
      <c r="BL15" s="18" t="str">
        <f t="shared" si="31"/>
        <v/>
      </c>
      <c r="BM15" s="18" t="str">
        <f t="shared" si="31"/>
        <v/>
      </c>
      <c r="BN15" s="18" t="str">
        <f t="shared" si="31"/>
        <v/>
      </c>
      <c r="BO15" s="18" t="str">
        <f t="shared" si="31"/>
        <v/>
      </c>
      <c r="BP15" s="18" t="str">
        <f t="shared" si="31"/>
        <v/>
      </c>
      <c r="BQ15" s="18" t="str">
        <f t="shared" si="31"/>
        <v/>
      </c>
      <c r="BR15" s="18" t="str">
        <f t="shared" si="31"/>
        <v/>
      </c>
      <c r="BS15" s="18" t="str">
        <f t="shared" si="31"/>
        <v/>
      </c>
      <c r="BT15" s="18" t="str">
        <f t="shared" si="31"/>
        <v/>
      </c>
      <c r="BU15" s="18" t="str">
        <f t="shared" si="31"/>
        <v/>
      </c>
      <c r="BV15" s="18" t="str">
        <f t="shared" si="31"/>
        <v/>
      </c>
      <c r="BW15" s="18" t="str">
        <f t="shared" si="31"/>
        <v/>
      </c>
      <c r="BX15" s="18" t="str">
        <f t="shared" si="31"/>
        <v/>
      </c>
      <c r="BY15" s="18" t="str">
        <f t="shared" si="31"/>
        <v/>
      </c>
      <c r="BZ15" s="18" t="str">
        <f t="shared" ref="BZ15:CZ15" si="32">IF($D15="","",IF(AND($J15&lt;=BZ$4,$K15&gt;=BZ$4),"x",""))</f>
        <v/>
      </c>
      <c r="CA15" s="18" t="str">
        <f t="shared" si="32"/>
        <v/>
      </c>
      <c r="CB15" s="18" t="str">
        <f t="shared" si="32"/>
        <v/>
      </c>
      <c r="CC15" s="18" t="str">
        <f t="shared" si="32"/>
        <v/>
      </c>
      <c r="CD15" s="18" t="str">
        <f t="shared" si="32"/>
        <v/>
      </c>
      <c r="CE15" s="18" t="str">
        <f t="shared" si="32"/>
        <v/>
      </c>
      <c r="CF15" s="18" t="str">
        <f t="shared" si="32"/>
        <v/>
      </c>
      <c r="CG15" s="18" t="str">
        <f t="shared" si="32"/>
        <v/>
      </c>
      <c r="CH15" s="18" t="str">
        <f t="shared" si="32"/>
        <v/>
      </c>
      <c r="CI15" s="18" t="str">
        <f t="shared" si="32"/>
        <v/>
      </c>
      <c r="CJ15" s="18" t="str">
        <f t="shared" si="32"/>
        <v/>
      </c>
      <c r="CK15" s="18" t="str">
        <f t="shared" si="32"/>
        <v/>
      </c>
      <c r="CL15" s="18" t="str">
        <f t="shared" si="32"/>
        <v/>
      </c>
      <c r="CM15" s="18" t="str">
        <f t="shared" si="32"/>
        <v/>
      </c>
      <c r="CN15" s="18" t="str">
        <f t="shared" si="32"/>
        <v/>
      </c>
      <c r="CO15" s="18" t="str">
        <f t="shared" si="32"/>
        <v/>
      </c>
      <c r="CP15" s="18" t="str">
        <f t="shared" si="32"/>
        <v/>
      </c>
      <c r="CQ15" s="18" t="str">
        <f t="shared" si="32"/>
        <v/>
      </c>
      <c r="CR15" s="18" t="str">
        <f t="shared" si="32"/>
        <v/>
      </c>
      <c r="CS15" s="18" t="str">
        <f t="shared" si="32"/>
        <v/>
      </c>
      <c r="CT15" s="18" t="str">
        <f t="shared" si="32"/>
        <v/>
      </c>
      <c r="CU15" s="18" t="str">
        <f t="shared" si="32"/>
        <v/>
      </c>
      <c r="CV15" s="18" t="str">
        <f t="shared" si="32"/>
        <v/>
      </c>
      <c r="CW15" s="18" t="str">
        <f t="shared" si="32"/>
        <v/>
      </c>
      <c r="CX15" s="18" t="str">
        <f t="shared" si="32"/>
        <v/>
      </c>
      <c r="CY15" s="18" t="str">
        <f t="shared" si="32"/>
        <v/>
      </c>
      <c r="CZ15" s="18" t="str">
        <f t="shared" si="32"/>
        <v/>
      </c>
    </row>
    <row r="16" spans="1:104" ht="15" customHeight="1" x14ac:dyDescent="0.3">
      <c r="A16" s="3"/>
      <c r="B16" s="2"/>
      <c r="C16" s="3"/>
      <c r="D16" s="3"/>
      <c r="E16" s="3"/>
      <c r="F16" s="19"/>
      <c r="J16" s="20"/>
      <c r="K16" s="20"/>
      <c r="L16" s="21">
        <v>45922</v>
      </c>
      <c r="M16" s="21">
        <v>45928</v>
      </c>
      <c r="N16" s="18" t="str">
        <f t="shared" ref="N16:AS16" si="33">IF(AND($L16&lt;=N$4,$M16&gt;=N$4),"y","")</f>
        <v/>
      </c>
      <c r="O16" s="18" t="str">
        <f t="shared" si="33"/>
        <v/>
      </c>
      <c r="P16" s="18" t="str">
        <f t="shared" si="33"/>
        <v/>
      </c>
      <c r="Q16" s="18" t="str">
        <f t="shared" si="33"/>
        <v/>
      </c>
      <c r="R16" s="18" t="str">
        <f t="shared" si="33"/>
        <v/>
      </c>
      <c r="S16" s="18" t="str">
        <f t="shared" si="33"/>
        <v/>
      </c>
      <c r="T16" s="18" t="str">
        <f t="shared" si="33"/>
        <v/>
      </c>
      <c r="U16" s="18" t="str">
        <f t="shared" si="33"/>
        <v/>
      </c>
      <c r="V16" s="18" t="str">
        <f t="shared" si="33"/>
        <v/>
      </c>
      <c r="W16" s="18" t="str">
        <f t="shared" si="33"/>
        <v/>
      </c>
      <c r="X16" s="18" t="str">
        <f t="shared" si="33"/>
        <v/>
      </c>
      <c r="Y16" s="18" t="str">
        <f t="shared" si="33"/>
        <v/>
      </c>
      <c r="Z16" s="18" t="str">
        <f t="shared" si="33"/>
        <v/>
      </c>
      <c r="AA16" s="18" t="str">
        <f t="shared" si="33"/>
        <v/>
      </c>
      <c r="AB16" s="18" t="str">
        <f t="shared" si="33"/>
        <v>y</v>
      </c>
      <c r="AC16" s="18" t="str">
        <f t="shared" si="33"/>
        <v>y</v>
      </c>
      <c r="AD16" s="18" t="str">
        <f t="shared" si="33"/>
        <v>y</v>
      </c>
      <c r="AE16" s="18" t="str">
        <f t="shared" si="33"/>
        <v>y</v>
      </c>
      <c r="AF16" s="18" t="str">
        <f t="shared" si="33"/>
        <v>y</v>
      </c>
      <c r="AG16" s="18" t="str">
        <f t="shared" si="33"/>
        <v>y</v>
      </c>
      <c r="AH16" s="18" t="str">
        <f t="shared" si="33"/>
        <v>y</v>
      </c>
      <c r="AI16" s="18" t="str">
        <f t="shared" si="33"/>
        <v/>
      </c>
      <c r="AJ16" s="18" t="str">
        <f t="shared" si="33"/>
        <v/>
      </c>
      <c r="AK16" s="18" t="str">
        <f t="shared" si="33"/>
        <v/>
      </c>
      <c r="AL16" s="18" t="str">
        <f t="shared" si="33"/>
        <v/>
      </c>
      <c r="AM16" s="18" t="str">
        <f t="shared" si="33"/>
        <v/>
      </c>
      <c r="AN16" s="18" t="str">
        <f t="shared" si="33"/>
        <v/>
      </c>
      <c r="AO16" s="18" t="str">
        <f t="shared" si="33"/>
        <v/>
      </c>
      <c r="AP16" s="18" t="str">
        <f t="shared" si="33"/>
        <v/>
      </c>
      <c r="AQ16" s="18" t="str">
        <f t="shared" si="33"/>
        <v/>
      </c>
      <c r="AR16" s="18" t="str">
        <f t="shared" si="33"/>
        <v/>
      </c>
      <c r="AS16" s="18" t="str">
        <f t="shared" si="33"/>
        <v/>
      </c>
      <c r="AT16" s="18" t="str">
        <f t="shared" ref="AT16:BY16" si="34">IF(AND($L16&lt;=AT$4,$M16&gt;=AT$4),"y","")</f>
        <v/>
      </c>
      <c r="AU16" s="18" t="str">
        <f t="shared" si="34"/>
        <v/>
      </c>
      <c r="AV16" s="18" t="str">
        <f t="shared" si="34"/>
        <v/>
      </c>
      <c r="AW16" s="18" t="str">
        <f t="shared" si="34"/>
        <v/>
      </c>
      <c r="AX16" s="18" t="str">
        <f t="shared" si="34"/>
        <v/>
      </c>
      <c r="AY16" s="18" t="str">
        <f t="shared" si="34"/>
        <v/>
      </c>
      <c r="AZ16" s="18" t="str">
        <f t="shared" si="34"/>
        <v/>
      </c>
      <c r="BA16" s="18" t="str">
        <f t="shared" si="34"/>
        <v/>
      </c>
      <c r="BB16" s="18" t="str">
        <f t="shared" si="34"/>
        <v/>
      </c>
      <c r="BC16" s="18" t="str">
        <f t="shared" si="34"/>
        <v/>
      </c>
      <c r="BD16" s="18" t="str">
        <f t="shared" si="34"/>
        <v/>
      </c>
      <c r="BE16" s="18" t="str">
        <f t="shared" si="34"/>
        <v/>
      </c>
      <c r="BF16" s="18" t="str">
        <f t="shared" si="34"/>
        <v/>
      </c>
      <c r="BG16" s="18" t="str">
        <f t="shared" si="34"/>
        <v/>
      </c>
      <c r="BH16" s="18" t="str">
        <f t="shared" si="34"/>
        <v/>
      </c>
      <c r="BI16" s="18" t="str">
        <f t="shared" si="34"/>
        <v/>
      </c>
      <c r="BJ16" s="18" t="str">
        <f t="shared" si="34"/>
        <v/>
      </c>
      <c r="BK16" s="18" t="str">
        <f t="shared" si="34"/>
        <v/>
      </c>
      <c r="BL16" s="18" t="str">
        <f t="shared" si="34"/>
        <v/>
      </c>
      <c r="BM16" s="18" t="str">
        <f t="shared" si="34"/>
        <v/>
      </c>
      <c r="BN16" s="18" t="str">
        <f t="shared" si="34"/>
        <v/>
      </c>
      <c r="BO16" s="18" t="str">
        <f t="shared" si="34"/>
        <v/>
      </c>
      <c r="BP16" s="18" t="str">
        <f t="shared" si="34"/>
        <v/>
      </c>
      <c r="BQ16" s="18" t="str">
        <f t="shared" si="34"/>
        <v/>
      </c>
      <c r="BR16" s="18" t="str">
        <f t="shared" si="34"/>
        <v/>
      </c>
      <c r="BS16" s="18" t="str">
        <f t="shared" si="34"/>
        <v/>
      </c>
      <c r="BT16" s="18" t="str">
        <f t="shared" si="34"/>
        <v/>
      </c>
      <c r="BU16" s="18" t="str">
        <f t="shared" si="34"/>
        <v/>
      </c>
      <c r="BV16" s="18" t="str">
        <f t="shared" si="34"/>
        <v/>
      </c>
      <c r="BW16" s="18" t="str">
        <f t="shared" si="34"/>
        <v/>
      </c>
      <c r="BX16" s="18" t="str">
        <f t="shared" si="34"/>
        <v/>
      </c>
      <c r="BY16" s="18" t="str">
        <f t="shared" si="34"/>
        <v/>
      </c>
      <c r="BZ16" s="18" t="str">
        <f t="shared" ref="BZ16:CZ16" si="35">IF(AND($L16&lt;=BZ$4,$M16&gt;=BZ$4),"y","")</f>
        <v/>
      </c>
      <c r="CA16" s="18" t="str">
        <f t="shared" si="35"/>
        <v/>
      </c>
      <c r="CB16" s="18" t="str">
        <f t="shared" si="35"/>
        <v/>
      </c>
      <c r="CC16" s="18" t="str">
        <f t="shared" si="35"/>
        <v/>
      </c>
      <c r="CD16" s="18" t="str">
        <f t="shared" si="35"/>
        <v/>
      </c>
      <c r="CE16" s="18" t="str">
        <f t="shared" si="35"/>
        <v/>
      </c>
      <c r="CF16" s="18" t="str">
        <f t="shared" si="35"/>
        <v/>
      </c>
      <c r="CG16" s="18" t="str">
        <f t="shared" si="35"/>
        <v/>
      </c>
      <c r="CH16" s="18" t="str">
        <f t="shared" si="35"/>
        <v/>
      </c>
      <c r="CI16" s="18" t="str">
        <f t="shared" si="35"/>
        <v/>
      </c>
      <c r="CJ16" s="18" t="str">
        <f t="shared" si="35"/>
        <v/>
      </c>
      <c r="CK16" s="18" t="str">
        <f t="shared" si="35"/>
        <v/>
      </c>
      <c r="CL16" s="18" t="str">
        <f t="shared" si="35"/>
        <v/>
      </c>
      <c r="CM16" s="18" t="str">
        <f t="shared" si="35"/>
        <v/>
      </c>
      <c r="CN16" s="18" t="str">
        <f t="shared" si="35"/>
        <v/>
      </c>
      <c r="CO16" s="18" t="str">
        <f t="shared" si="35"/>
        <v/>
      </c>
      <c r="CP16" s="18" t="str">
        <f t="shared" si="35"/>
        <v/>
      </c>
      <c r="CQ16" s="18" t="str">
        <f t="shared" si="35"/>
        <v/>
      </c>
      <c r="CR16" s="18" t="str">
        <f t="shared" si="35"/>
        <v/>
      </c>
      <c r="CS16" s="18" t="str">
        <f t="shared" si="35"/>
        <v/>
      </c>
      <c r="CT16" s="18" t="str">
        <f t="shared" si="35"/>
        <v/>
      </c>
      <c r="CU16" s="18" t="str">
        <f t="shared" si="35"/>
        <v/>
      </c>
      <c r="CV16" s="18" t="str">
        <f t="shared" si="35"/>
        <v/>
      </c>
      <c r="CW16" s="18" t="str">
        <f t="shared" si="35"/>
        <v/>
      </c>
      <c r="CX16" s="18" t="str">
        <f t="shared" si="35"/>
        <v/>
      </c>
      <c r="CY16" s="18" t="str">
        <f t="shared" si="35"/>
        <v/>
      </c>
      <c r="CZ16" s="18" t="str">
        <f t="shared" si="35"/>
        <v/>
      </c>
    </row>
    <row r="17" spans="1:104" ht="15" customHeight="1" x14ac:dyDescent="0.3">
      <c r="A17" s="3" t="s">
        <v>40</v>
      </c>
      <c r="B17" s="2" t="s">
        <v>31</v>
      </c>
      <c r="C17" s="3" t="s">
        <v>32</v>
      </c>
      <c r="D17" s="1" t="s">
        <v>41</v>
      </c>
      <c r="E17" s="1" t="s">
        <v>42</v>
      </c>
      <c r="F17" s="16" t="s">
        <v>20</v>
      </c>
      <c r="G17" s="15" t="s">
        <v>39</v>
      </c>
      <c r="H17" s="15" t="s">
        <v>39</v>
      </c>
      <c r="I17" s="15">
        <f>K17-J17+1</f>
        <v>7</v>
      </c>
      <c r="J17" s="17">
        <v>45922</v>
      </c>
      <c r="K17" s="17">
        <v>45928</v>
      </c>
      <c r="N17" s="18" t="str">
        <f t="shared" ref="N17:AS17" si="36">IF($D17="","",IF(AND($J17&lt;=N$4,$K17&gt;=N$4),"x",""))</f>
        <v/>
      </c>
      <c r="O17" s="18" t="str">
        <f t="shared" si="36"/>
        <v/>
      </c>
      <c r="P17" s="18" t="str">
        <f t="shared" si="36"/>
        <v/>
      </c>
      <c r="Q17" s="18" t="str">
        <f t="shared" si="36"/>
        <v/>
      </c>
      <c r="R17" s="18" t="str">
        <f t="shared" si="36"/>
        <v/>
      </c>
      <c r="S17" s="18" t="str">
        <f t="shared" si="36"/>
        <v/>
      </c>
      <c r="T17" s="18" t="str">
        <f t="shared" si="36"/>
        <v/>
      </c>
      <c r="U17" s="18" t="str">
        <f t="shared" si="36"/>
        <v/>
      </c>
      <c r="V17" s="18" t="str">
        <f t="shared" si="36"/>
        <v/>
      </c>
      <c r="W17" s="18" t="str">
        <f t="shared" si="36"/>
        <v/>
      </c>
      <c r="X17" s="18" t="str">
        <f t="shared" si="36"/>
        <v/>
      </c>
      <c r="Y17" s="18" t="str">
        <f t="shared" si="36"/>
        <v/>
      </c>
      <c r="Z17" s="18" t="str">
        <f t="shared" si="36"/>
        <v/>
      </c>
      <c r="AA17" s="18" t="str">
        <f t="shared" si="36"/>
        <v/>
      </c>
      <c r="AB17" s="18" t="str">
        <f t="shared" si="36"/>
        <v>x</v>
      </c>
      <c r="AC17" s="18" t="str">
        <f t="shared" si="36"/>
        <v>x</v>
      </c>
      <c r="AD17" s="18" t="str">
        <f t="shared" si="36"/>
        <v>x</v>
      </c>
      <c r="AE17" s="18" t="str">
        <f t="shared" si="36"/>
        <v>x</v>
      </c>
      <c r="AF17" s="18" t="str">
        <f t="shared" si="36"/>
        <v>x</v>
      </c>
      <c r="AG17" s="18" t="str">
        <f t="shared" si="36"/>
        <v>x</v>
      </c>
      <c r="AH17" s="18" t="str">
        <f t="shared" si="36"/>
        <v>x</v>
      </c>
      <c r="AI17" s="18" t="str">
        <f t="shared" si="36"/>
        <v/>
      </c>
      <c r="AJ17" s="18" t="str">
        <f t="shared" si="36"/>
        <v/>
      </c>
      <c r="AK17" s="18" t="str">
        <f t="shared" si="36"/>
        <v/>
      </c>
      <c r="AL17" s="18" t="str">
        <f t="shared" si="36"/>
        <v/>
      </c>
      <c r="AM17" s="18" t="str">
        <f t="shared" si="36"/>
        <v/>
      </c>
      <c r="AN17" s="18" t="str">
        <f t="shared" si="36"/>
        <v/>
      </c>
      <c r="AO17" s="18" t="str">
        <f t="shared" si="36"/>
        <v/>
      </c>
      <c r="AP17" s="18" t="str">
        <f t="shared" si="36"/>
        <v/>
      </c>
      <c r="AQ17" s="18" t="str">
        <f t="shared" si="36"/>
        <v/>
      </c>
      <c r="AR17" s="18" t="str">
        <f t="shared" si="36"/>
        <v/>
      </c>
      <c r="AS17" s="18" t="str">
        <f t="shared" si="36"/>
        <v/>
      </c>
      <c r="AT17" s="18" t="str">
        <f t="shared" ref="AT17:BY17" si="37">IF($D17="","",IF(AND($J17&lt;=AT$4,$K17&gt;=AT$4),"x",""))</f>
        <v/>
      </c>
      <c r="AU17" s="18" t="str">
        <f t="shared" si="37"/>
        <v/>
      </c>
      <c r="AV17" s="18" t="str">
        <f t="shared" si="37"/>
        <v/>
      </c>
      <c r="AW17" s="18" t="str">
        <f t="shared" si="37"/>
        <v/>
      </c>
      <c r="AX17" s="18" t="str">
        <f t="shared" si="37"/>
        <v/>
      </c>
      <c r="AY17" s="18" t="str">
        <f t="shared" si="37"/>
        <v/>
      </c>
      <c r="AZ17" s="18" t="str">
        <f t="shared" si="37"/>
        <v/>
      </c>
      <c r="BA17" s="18" t="str">
        <f t="shared" si="37"/>
        <v/>
      </c>
      <c r="BB17" s="18" t="str">
        <f t="shared" si="37"/>
        <v/>
      </c>
      <c r="BC17" s="18" t="str">
        <f t="shared" si="37"/>
        <v/>
      </c>
      <c r="BD17" s="18" t="str">
        <f t="shared" si="37"/>
        <v/>
      </c>
      <c r="BE17" s="18" t="str">
        <f t="shared" si="37"/>
        <v/>
      </c>
      <c r="BF17" s="18" t="str">
        <f t="shared" si="37"/>
        <v/>
      </c>
      <c r="BG17" s="18" t="str">
        <f t="shared" si="37"/>
        <v/>
      </c>
      <c r="BH17" s="18" t="str">
        <f t="shared" si="37"/>
        <v/>
      </c>
      <c r="BI17" s="18" t="str">
        <f t="shared" si="37"/>
        <v/>
      </c>
      <c r="BJ17" s="18" t="str">
        <f t="shared" si="37"/>
        <v/>
      </c>
      <c r="BK17" s="18" t="str">
        <f t="shared" si="37"/>
        <v/>
      </c>
      <c r="BL17" s="18" t="str">
        <f t="shared" si="37"/>
        <v/>
      </c>
      <c r="BM17" s="18" t="str">
        <f t="shared" si="37"/>
        <v/>
      </c>
      <c r="BN17" s="18" t="str">
        <f t="shared" si="37"/>
        <v/>
      </c>
      <c r="BO17" s="18" t="str">
        <f t="shared" si="37"/>
        <v/>
      </c>
      <c r="BP17" s="18" t="str">
        <f t="shared" si="37"/>
        <v/>
      </c>
      <c r="BQ17" s="18" t="str">
        <f t="shared" si="37"/>
        <v/>
      </c>
      <c r="BR17" s="18" t="str">
        <f t="shared" si="37"/>
        <v/>
      </c>
      <c r="BS17" s="18" t="str">
        <f t="shared" si="37"/>
        <v/>
      </c>
      <c r="BT17" s="18" t="str">
        <f t="shared" si="37"/>
        <v/>
      </c>
      <c r="BU17" s="18" t="str">
        <f t="shared" si="37"/>
        <v/>
      </c>
      <c r="BV17" s="18" t="str">
        <f t="shared" si="37"/>
        <v/>
      </c>
      <c r="BW17" s="18" t="str">
        <f t="shared" si="37"/>
        <v/>
      </c>
      <c r="BX17" s="18" t="str">
        <f t="shared" si="37"/>
        <v/>
      </c>
      <c r="BY17" s="18" t="str">
        <f t="shared" si="37"/>
        <v/>
      </c>
      <c r="BZ17" s="18" t="str">
        <f t="shared" ref="BZ17:CZ17" si="38">IF($D17="","",IF(AND($J17&lt;=BZ$4,$K17&gt;=BZ$4),"x",""))</f>
        <v/>
      </c>
      <c r="CA17" s="18" t="str">
        <f t="shared" si="38"/>
        <v/>
      </c>
      <c r="CB17" s="18" t="str">
        <f t="shared" si="38"/>
        <v/>
      </c>
      <c r="CC17" s="18" t="str">
        <f t="shared" si="38"/>
        <v/>
      </c>
      <c r="CD17" s="18" t="str">
        <f t="shared" si="38"/>
        <v/>
      </c>
      <c r="CE17" s="18" t="str">
        <f t="shared" si="38"/>
        <v/>
      </c>
      <c r="CF17" s="18" t="str">
        <f t="shared" si="38"/>
        <v/>
      </c>
      <c r="CG17" s="18" t="str">
        <f t="shared" si="38"/>
        <v/>
      </c>
      <c r="CH17" s="18" t="str">
        <f t="shared" si="38"/>
        <v/>
      </c>
      <c r="CI17" s="18" t="str">
        <f t="shared" si="38"/>
        <v/>
      </c>
      <c r="CJ17" s="18" t="str">
        <f t="shared" si="38"/>
        <v/>
      </c>
      <c r="CK17" s="18" t="str">
        <f t="shared" si="38"/>
        <v/>
      </c>
      <c r="CL17" s="18" t="str">
        <f t="shared" si="38"/>
        <v/>
      </c>
      <c r="CM17" s="18" t="str">
        <f t="shared" si="38"/>
        <v/>
      </c>
      <c r="CN17" s="18" t="str">
        <f t="shared" si="38"/>
        <v/>
      </c>
      <c r="CO17" s="18" t="str">
        <f t="shared" si="38"/>
        <v/>
      </c>
      <c r="CP17" s="18" t="str">
        <f t="shared" si="38"/>
        <v/>
      </c>
      <c r="CQ17" s="18" t="str">
        <f t="shared" si="38"/>
        <v/>
      </c>
      <c r="CR17" s="18" t="str">
        <f t="shared" si="38"/>
        <v/>
      </c>
      <c r="CS17" s="18" t="str">
        <f t="shared" si="38"/>
        <v/>
      </c>
      <c r="CT17" s="18" t="str">
        <f t="shared" si="38"/>
        <v/>
      </c>
      <c r="CU17" s="18" t="str">
        <f t="shared" si="38"/>
        <v/>
      </c>
      <c r="CV17" s="18" t="str">
        <f t="shared" si="38"/>
        <v/>
      </c>
      <c r="CW17" s="18" t="str">
        <f t="shared" si="38"/>
        <v/>
      </c>
      <c r="CX17" s="18" t="str">
        <f t="shared" si="38"/>
        <v/>
      </c>
      <c r="CY17" s="18" t="str">
        <f t="shared" si="38"/>
        <v/>
      </c>
      <c r="CZ17" s="18" t="str">
        <f t="shared" si="38"/>
        <v/>
      </c>
    </row>
    <row r="18" spans="1:104" ht="15" customHeight="1" x14ac:dyDescent="0.3">
      <c r="A18" s="3"/>
      <c r="B18" s="2"/>
      <c r="C18" s="3"/>
      <c r="D18" s="3"/>
      <c r="E18" s="3"/>
      <c r="F18" s="19"/>
      <c r="J18" s="20"/>
      <c r="K18" s="20"/>
      <c r="L18" s="21">
        <v>45922</v>
      </c>
      <c r="M18" s="21">
        <v>45928</v>
      </c>
      <c r="N18" s="18" t="str">
        <f t="shared" ref="N18:AS18" si="39">IF(AND($L18&lt;=N$4,$M18&gt;=N$4),"y","")</f>
        <v/>
      </c>
      <c r="O18" s="18" t="str">
        <f t="shared" si="39"/>
        <v/>
      </c>
      <c r="P18" s="18" t="str">
        <f t="shared" si="39"/>
        <v/>
      </c>
      <c r="Q18" s="18" t="str">
        <f t="shared" si="39"/>
        <v/>
      </c>
      <c r="R18" s="18" t="str">
        <f t="shared" si="39"/>
        <v/>
      </c>
      <c r="S18" s="18" t="str">
        <f t="shared" si="39"/>
        <v/>
      </c>
      <c r="T18" s="18" t="str">
        <f t="shared" si="39"/>
        <v/>
      </c>
      <c r="U18" s="18" t="str">
        <f t="shared" si="39"/>
        <v/>
      </c>
      <c r="V18" s="18" t="str">
        <f t="shared" si="39"/>
        <v/>
      </c>
      <c r="W18" s="18" t="str">
        <f t="shared" si="39"/>
        <v/>
      </c>
      <c r="X18" s="18" t="str">
        <f t="shared" si="39"/>
        <v/>
      </c>
      <c r="Y18" s="18" t="str">
        <f t="shared" si="39"/>
        <v/>
      </c>
      <c r="Z18" s="18" t="str">
        <f t="shared" si="39"/>
        <v/>
      </c>
      <c r="AA18" s="18" t="str">
        <f t="shared" si="39"/>
        <v/>
      </c>
      <c r="AB18" s="18" t="str">
        <f t="shared" si="39"/>
        <v>y</v>
      </c>
      <c r="AC18" s="18" t="str">
        <f t="shared" si="39"/>
        <v>y</v>
      </c>
      <c r="AD18" s="18" t="str">
        <f t="shared" si="39"/>
        <v>y</v>
      </c>
      <c r="AE18" s="18" t="str">
        <f t="shared" si="39"/>
        <v>y</v>
      </c>
      <c r="AF18" s="18" t="str">
        <f t="shared" si="39"/>
        <v>y</v>
      </c>
      <c r="AG18" s="18" t="str">
        <f t="shared" si="39"/>
        <v>y</v>
      </c>
      <c r="AH18" s="18" t="str">
        <f t="shared" si="39"/>
        <v>y</v>
      </c>
      <c r="AI18" s="18" t="str">
        <f t="shared" si="39"/>
        <v/>
      </c>
      <c r="AJ18" s="18" t="str">
        <f t="shared" si="39"/>
        <v/>
      </c>
      <c r="AK18" s="18" t="str">
        <f t="shared" si="39"/>
        <v/>
      </c>
      <c r="AL18" s="18" t="str">
        <f t="shared" si="39"/>
        <v/>
      </c>
      <c r="AM18" s="18" t="str">
        <f t="shared" si="39"/>
        <v/>
      </c>
      <c r="AN18" s="18" t="str">
        <f t="shared" si="39"/>
        <v/>
      </c>
      <c r="AO18" s="18" t="str">
        <f t="shared" si="39"/>
        <v/>
      </c>
      <c r="AP18" s="18" t="str">
        <f t="shared" si="39"/>
        <v/>
      </c>
      <c r="AQ18" s="18" t="str">
        <f t="shared" si="39"/>
        <v/>
      </c>
      <c r="AR18" s="18" t="str">
        <f t="shared" si="39"/>
        <v/>
      </c>
      <c r="AS18" s="18" t="str">
        <f t="shared" si="39"/>
        <v/>
      </c>
      <c r="AT18" s="18" t="str">
        <f t="shared" ref="AT18:BY18" si="40">IF(AND($L18&lt;=AT$4,$M18&gt;=AT$4),"y","")</f>
        <v/>
      </c>
      <c r="AU18" s="18" t="str">
        <f t="shared" si="40"/>
        <v/>
      </c>
      <c r="AV18" s="18" t="str">
        <f t="shared" si="40"/>
        <v/>
      </c>
      <c r="AW18" s="18" t="str">
        <f t="shared" si="40"/>
        <v/>
      </c>
      <c r="AX18" s="18" t="str">
        <f t="shared" si="40"/>
        <v/>
      </c>
      <c r="AY18" s="18" t="str">
        <f t="shared" si="40"/>
        <v/>
      </c>
      <c r="AZ18" s="18" t="str">
        <f t="shared" si="40"/>
        <v/>
      </c>
      <c r="BA18" s="18" t="str">
        <f t="shared" si="40"/>
        <v/>
      </c>
      <c r="BB18" s="18" t="str">
        <f t="shared" si="40"/>
        <v/>
      </c>
      <c r="BC18" s="18" t="str">
        <f t="shared" si="40"/>
        <v/>
      </c>
      <c r="BD18" s="18" t="str">
        <f t="shared" si="40"/>
        <v/>
      </c>
      <c r="BE18" s="18" t="str">
        <f t="shared" si="40"/>
        <v/>
      </c>
      <c r="BF18" s="18" t="str">
        <f t="shared" si="40"/>
        <v/>
      </c>
      <c r="BG18" s="18" t="str">
        <f t="shared" si="40"/>
        <v/>
      </c>
      <c r="BH18" s="18" t="str">
        <f t="shared" si="40"/>
        <v/>
      </c>
      <c r="BI18" s="18" t="str">
        <f t="shared" si="40"/>
        <v/>
      </c>
      <c r="BJ18" s="18" t="str">
        <f t="shared" si="40"/>
        <v/>
      </c>
      <c r="BK18" s="18" t="str">
        <f t="shared" si="40"/>
        <v/>
      </c>
      <c r="BL18" s="18" t="str">
        <f t="shared" si="40"/>
        <v/>
      </c>
      <c r="BM18" s="18" t="str">
        <f t="shared" si="40"/>
        <v/>
      </c>
      <c r="BN18" s="18" t="str">
        <f t="shared" si="40"/>
        <v/>
      </c>
      <c r="BO18" s="18" t="str">
        <f t="shared" si="40"/>
        <v/>
      </c>
      <c r="BP18" s="18" t="str">
        <f t="shared" si="40"/>
        <v/>
      </c>
      <c r="BQ18" s="18" t="str">
        <f t="shared" si="40"/>
        <v/>
      </c>
      <c r="BR18" s="18" t="str">
        <f t="shared" si="40"/>
        <v/>
      </c>
      <c r="BS18" s="18" t="str">
        <f t="shared" si="40"/>
        <v/>
      </c>
      <c r="BT18" s="18" t="str">
        <f t="shared" si="40"/>
        <v/>
      </c>
      <c r="BU18" s="18" t="str">
        <f t="shared" si="40"/>
        <v/>
      </c>
      <c r="BV18" s="18" t="str">
        <f t="shared" si="40"/>
        <v/>
      </c>
      <c r="BW18" s="18" t="str">
        <f t="shared" si="40"/>
        <v/>
      </c>
      <c r="BX18" s="18" t="str">
        <f t="shared" si="40"/>
        <v/>
      </c>
      <c r="BY18" s="18" t="str">
        <f t="shared" si="40"/>
        <v/>
      </c>
      <c r="BZ18" s="18" t="str">
        <f t="shared" ref="BZ18:CZ18" si="41">IF(AND($L18&lt;=BZ$4,$M18&gt;=BZ$4),"y","")</f>
        <v/>
      </c>
      <c r="CA18" s="18" t="str">
        <f t="shared" si="41"/>
        <v/>
      </c>
      <c r="CB18" s="18" t="str">
        <f t="shared" si="41"/>
        <v/>
      </c>
      <c r="CC18" s="18" t="str">
        <f t="shared" si="41"/>
        <v/>
      </c>
      <c r="CD18" s="18" t="str">
        <f t="shared" si="41"/>
        <v/>
      </c>
      <c r="CE18" s="18" t="str">
        <f t="shared" si="41"/>
        <v/>
      </c>
      <c r="CF18" s="18" t="str">
        <f t="shared" si="41"/>
        <v/>
      </c>
      <c r="CG18" s="18" t="str">
        <f t="shared" si="41"/>
        <v/>
      </c>
      <c r="CH18" s="18" t="str">
        <f t="shared" si="41"/>
        <v/>
      </c>
      <c r="CI18" s="18" t="str">
        <f t="shared" si="41"/>
        <v/>
      </c>
      <c r="CJ18" s="18" t="str">
        <f t="shared" si="41"/>
        <v/>
      </c>
      <c r="CK18" s="18" t="str">
        <f t="shared" si="41"/>
        <v/>
      </c>
      <c r="CL18" s="18" t="str">
        <f t="shared" si="41"/>
        <v/>
      </c>
      <c r="CM18" s="18" t="str">
        <f t="shared" si="41"/>
        <v/>
      </c>
      <c r="CN18" s="18" t="str">
        <f t="shared" si="41"/>
        <v/>
      </c>
      <c r="CO18" s="18" t="str">
        <f t="shared" si="41"/>
        <v/>
      </c>
      <c r="CP18" s="18" t="str">
        <f t="shared" si="41"/>
        <v/>
      </c>
      <c r="CQ18" s="18" t="str">
        <f t="shared" si="41"/>
        <v/>
      </c>
      <c r="CR18" s="18" t="str">
        <f t="shared" si="41"/>
        <v/>
      </c>
      <c r="CS18" s="18" t="str">
        <f t="shared" si="41"/>
        <v/>
      </c>
      <c r="CT18" s="18" t="str">
        <f t="shared" si="41"/>
        <v/>
      </c>
      <c r="CU18" s="18" t="str">
        <f t="shared" si="41"/>
        <v/>
      </c>
      <c r="CV18" s="18" t="str">
        <f t="shared" si="41"/>
        <v/>
      </c>
      <c r="CW18" s="18" t="str">
        <f t="shared" si="41"/>
        <v/>
      </c>
      <c r="CX18" s="18" t="str">
        <f t="shared" si="41"/>
        <v/>
      </c>
      <c r="CY18" s="18" t="str">
        <f t="shared" si="41"/>
        <v/>
      </c>
      <c r="CZ18" s="18" t="str">
        <f t="shared" si="41"/>
        <v/>
      </c>
    </row>
    <row r="19" spans="1:104" ht="21.75" customHeight="1" x14ac:dyDescent="0.3">
      <c r="A19" s="4" t="s">
        <v>43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10"/>
    </row>
    <row r="20" spans="1:104" ht="15" customHeight="1" x14ac:dyDescent="0.3">
      <c r="A20" s="3" t="s">
        <v>44</v>
      </c>
      <c r="B20" s="2" t="s">
        <v>45</v>
      </c>
      <c r="C20" s="3" t="s">
        <v>46</v>
      </c>
      <c r="D20" s="1" t="s">
        <v>47</v>
      </c>
      <c r="E20" s="1" t="s">
        <v>48</v>
      </c>
      <c r="F20" s="16" t="s">
        <v>49</v>
      </c>
      <c r="G20" s="15" t="s">
        <v>50</v>
      </c>
      <c r="H20" s="15" t="s">
        <v>50</v>
      </c>
      <c r="I20" s="15">
        <f>K20-J20+1</f>
        <v>7</v>
      </c>
      <c r="J20" s="17">
        <v>45929</v>
      </c>
      <c r="K20" s="17">
        <v>45935</v>
      </c>
      <c r="N20" s="18" t="str">
        <f t="shared" ref="N20:AS20" si="42">IF($D20="","",IF(AND($J20&lt;=N$4,$K20&gt;=N$4),"x",""))</f>
        <v/>
      </c>
      <c r="O20" s="18" t="str">
        <f t="shared" si="42"/>
        <v/>
      </c>
      <c r="P20" s="18" t="str">
        <f t="shared" si="42"/>
        <v/>
      </c>
      <c r="Q20" s="18" t="str">
        <f t="shared" si="42"/>
        <v/>
      </c>
      <c r="R20" s="18" t="str">
        <f t="shared" si="42"/>
        <v/>
      </c>
      <c r="S20" s="18" t="str">
        <f t="shared" si="42"/>
        <v/>
      </c>
      <c r="T20" s="18" t="str">
        <f t="shared" si="42"/>
        <v/>
      </c>
      <c r="U20" s="18" t="str">
        <f t="shared" si="42"/>
        <v/>
      </c>
      <c r="V20" s="18" t="str">
        <f t="shared" si="42"/>
        <v/>
      </c>
      <c r="W20" s="18" t="str">
        <f t="shared" si="42"/>
        <v/>
      </c>
      <c r="X20" s="18" t="str">
        <f t="shared" si="42"/>
        <v/>
      </c>
      <c r="Y20" s="18" t="str">
        <f t="shared" si="42"/>
        <v/>
      </c>
      <c r="Z20" s="18" t="str">
        <f t="shared" si="42"/>
        <v/>
      </c>
      <c r="AA20" s="18" t="str">
        <f t="shared" si="42"/>
        <v/>
      </c>
      <c r="AB20" s="18" t="str">
        <f t="shared" si="42"/>
        <v/>
      </c>
      <c r="AC20" s="18" t="str">
        <f t="shared" si="42"/>
        <v/>
      </c>
      <c r="AD20" s="18" t="str">
        <f t="shared" si="42"/>
        <v/>
      </c>
      <c r="AE20" s="18" t="str">
        <f t="shared" si="42"/>
        <v/>
      </c>
      <c r="AF20" s="18" t="str">
        <f t="shared" si="42"/>
        <v/>
      </c>
      <c r="AG20" s="18" t="str">
        <f t="shared" si="42"/>
        <v/>
      </c>
      <c r="AH20" s="18" t="str">
        <f t="shared" si="42"/>
        <v/>
      </c>
      <c r="AI20" s="18" t="str">
        <f t="shared" si="42"/>
        <v>x</v>
      </c>
      <c r="AJ20" s="18" t="str">
        <f t="shared" si="42"/>
        <v>x</v>
      </c>
      <c r="AK20" s="18" t="str">
        <f t="shared" si="42"/>
        <v>x</v>
      </c>
      <c r="AL20" s="18" t="str">
        <f t="shared" si="42"/>
        <v>x</v>
      </c>
      <c r="AM20" s="18" t="str">
        <f t="shared" si="42"/>
        <v>x</v>
      </c>
      <c r="AN20" s="18" t="str">
        <f t="shared" si="42"/>
        <v>x</v>
      </c>
      <c r="AO20" s="18" t="str">
        <f t="shared" si="42"/>
        <v>x</v>
      </c>
      <c r="AP20" s="18" t="str">
        <f t="shared" si="42"/>
        <v/>
      </c>
      <c r="AQ20" s="18" t="str">
        <f t="shared" si="42"/>
        <v/>
      </c>
      <c r="AR20" s="18" t="str">
        <f t="shared" si="42"/>
        <v/>
      </c>
      <c r="AS20" s="18" t="str">
        <f t="shared" si="42"/>
        <v/>
      </c>
      <c r="AT20" s="18" t="str">
        <f t="shared" ref="AT20:BY20" si="43">IF($D20="","",IF(AND($J20&lt;=AT$4,$K20&gt;=AT$4),"x",""))</f>
        <v/>
      </c>
      <c r="AU20" s="18" t="str">
        <f t="shared" si="43"/>
        <v/>
      </c>
      <c r="AV20" s="18" t="str">
        <f t="shared" si="43"/>
        <v/>
      </c>
      <c r="AW20" s="18" t="str">
        <f t="shared" si="43"/>
        <v/>
      </c>
      <c r="AX20" s="18" t="str">
        <f t="shared" si="43"/>
        <v/>
      </c>
      <c r="AY20" s="18" t="str">
        <f t="shared" si="43"/>
        <v/>
      </c>
      <c r="AZ20" s="18" t="str">
        <f t="shared" si="43"/>
        <v/>
      </c>
      <c r="BA20" s="18" t="str">
        <f t="shared" si="43"/>
        <v/>
      </c>
      <c r="BB20" s="18" t="str">
        <f t="shared" si="43"/>
        <v/>
      </c>
      <c r="BC20" s="18" t="str">
        <f t="shared" si="43"/>
        <v/>
      </c>
      <c r="BD20" s="18" t="str">
        <f t="shared" si="43"/>
        <v/>
      </c>
      <c r="BE20" s="18" t="str">
        <f t="shared" si="43"/>
        <v/>
      </c>
      <c r="BF20" s="18" t="str">
        <f t="shared" si="43"/>
        <v/>
      </c>
      <c r="BG20" s="18" t="str">
        <f t="shared" si="43"/>
        <v/>
      </c>
      <c r="BH20" s="18" t="str">
        <f t="shared" si="43"/>
        <v/>
      </c>
      <c r="BI20" s="18" t="str">
        <f t="shared" si="43"/>
        <v/>
      </c>
      <c r="BJ20" s="18" t="str">
        <f t="shared" si="43"/>
        <v/>
      </c>
      <c r="BK20" s="18" t="str">
        <f t="shared" si="43"/>
        <v/>
      </c>
      <c r="BL20" s="18" t="str">
        <f t="shared" si="43"/>
        <v/>
      </c>
      <c r="BM20" s="18" t="str">
        <f t="shared" si="43"/>
        <v/>
      </c>
      <c r="BN20" s="18" t="str">
        <f t="shared" si="43"/>
        <v/>
      </c>
      <c r="BO20" s="18" t="str">
        <f t="shared" si="43"/>
        <v/>
      </c>
      <c r="BP20" s="18" t="str">
        <f t="shared" si="43"/>
        <v/>
      </c>
      <c r="BQ20" s="18" t="str">
        <f t="shared" si="43"/>
        <v/>
      </c>
      <c r="BR20" s="18" t="str">
        <f t="shared" si="43"/>
        <v/>
      </c>
      <c r="BS20" s="18" t="str">
        <f t="shared" si="43"/>
        <v/>
      </c>
      <c r="BT20" s="18" t="str">
        <f t="shared" si="43"/>
        <v/>
      </c>
      <c r="BU20" s="18" t="str">
        <f t="shared" si="43"/>
        <v/>
      </c>
      <c r="BV20" s="18" t="str">
        <f t="shared" si="43"/>
        <v/>
      </c>
      <c r="BW20" s="18" t="str">
        <f t="shared" si="43"/>
        <v/>
      </c>
      <c r="BX20" s="18" t="str">
        <f t="shared" si="43"/>
        <v/>
      </c>
      <c r="BY20" s="18" t="str">
        <f t="shared" si="43"/>
        <v/>
      </c>
      <c r="BZ20" s="18" t="str">
        <f t="shared" ref="BZ20:CZ20" si="44">IF($D20="","",IF(AND($J20&lt;=BZ$4,$K20&gt;=BZ$4),"x",""))</f>
        <v/>
      </c>
      <c r="CA20" s="18" t="str">
        <f t="shared" si="44"/>
        <v/>
      </c>
      <c r="CB20" s="18" t="str">
        <f t="shared" si="44"/>
        <v/>
      </c>
      <c r="CC20" s="18" t="str">
        <f t="shared" si="44"/>
        <v/>
      </c>
      <c r="CD20" s="18" t="str">
        <f t="shared" si="44"/>
        <v/>
      </c>
      <c r="CE20" s="18" t="str">
        <f t="shared" si="44"/>
        <v/>
      </c>
      <c r="CF20" s="18" t="str">
        <f t="shared" si="44"/>
        <v/>
      </c>
      <c r="CG20" s="18" t="str">
        <f t="shared" si="44"/>
        <v/>
      </c>
      <c r="CH20" s="18" t="str">
        <f t="shared" si="44"/>
        <v/>
      </c>
      <c r="CI20" s="18" t="str">
        <f t="shared" si="44"/>
        <v/>
      </c>
      <c r="CJ20" s="18" t="str">
        <f t="shared" si="44"/>
        <v/>
      </c>
      <c r="CK20" s="18" t="str">
        <f t="shared" si="44"/>
        <v/>
      </c>
      <c r="CL20" s="18" t="str">
        <f t="shared" si="44"/>
        <v/>
      </c>
      <c r="CM20" s="18" t="str">
        <f t="shared" si="44"/>
        <v/>
      </c>
      <c r="CN20" s="18" t="str">
        <f t="shared" si="44"/>
        <v/>
      </c>
      <c r="CO20" s="18" t="str">
        <f t="shared" si="44"/>
        <v/>
      </c>
      <c r="CP20" s="18" t="str">
        <f t="shared" si="44"/>
        <v/>
      </c>
      <c r="CQ20" s="18" t="str">
        <f t="shared" si="44"/>
        <v/>
      </c>
      <c r="CR20" s="18" t="str">
        <f t="shared" si="44"/>
        <v/>
      </c>
      <c r="CS20" s="18" t="str">
        <f t="shared" si="44"/>
        <v/>
      </c>
      <c r="CT20" s="18" t="str">
        <f t="shared" si="44"/>
        <v/>
      </c>
      <c r="CU20" s="18" t="str">
        <f t="shared" si="44"/>
        <v/>
      </c>
      <c r="CV20" s="18" t="str">
        <f t="shared" si="44"/>
        <v/>
      </c>
      <c r="CW20" s="18" t="str">
        <f t="shared" si="44"/>
        <v/>
      </c>
      <c r="CX20" s="18" t="str">
        <f t="shared" si="44"/>
        <v/>
      </c>
      <c r="CY20" s="18" t="str">
        <f t="shared" si="44"/>
        <v/>
      </c>
      <c r="CZ20" s="18" t="str">
        <f t="shared" si="44"/>
        <v/>
      </c>
    </row>
    <row r="21" spans="1:104" ht="15" customHeight="1" x14ac:dyDescent="0.3">
      <c r="A21" s="3"/>
      <c r="B21" s="2"/>
      <c r="C21" s="3"/>
      <c r="D21" s="3"/>
      <c r="E21" s="3"/>
      <c r="F21" s="19"/>
      <c r="J21" s="20"/>
      <c r="K21" s="20"/>
      <c r="L21" s="21">
        <v>45929</v>
      </c>
      <c r="M21" s="21">
        <v>45935</v>
      </c>
      <c r="N21" s="18" t="str">
        <f t="shared" ref="N21:AS21" si="45">IF(AND($L21&lt;=N$4,$M21&gt;=N$4),"y","")</f>
        <v/>
      </c>
      <c r="O21" s="18" t="str">
        <f t="shared" si="45"/>
        <v/>
      </c>
      <c r="P21" s="18" t="str">
        <f t="shared" si="45"/>
        <v/>
      </c>
      <c r="Q21" s="18" t="str">
        <f t="shared" si="45"/>
        <v/>
      </c>
      <c r="R21" s="18" t="str">
        <f t="shared" si="45"/>
        <v/>
      </c>
      <c r="S21" s="18" t="str">
        <f t="shared" si="45"/>
        <v/>
      </c>
      <c r="T21" s="18" t="str">
        <f t="shared" si="45"/>
        <v/>
      </c>
      <c r="U21" s="18" t="str">
        <f t="shared" si="45"/>
        <v/>
      </c>
      <c r="V21" s="18" t="str">
        <f t="shared" si="45"/>
        <v/>
      </c>
      <c r="W21" s="18" t="str">
        <f t="shared" si="45"/>
        <v/>
      </c>
      <c r="X21" s="18" t="str">
        <f t="shared" si="45"/>
        <v/>
      </c>
      <c r="Y21" s="18" t="str">
        <f t="shared" si="45"/>
        <v/>
      </c>
      <c r="Z21" s="18" t="str">
        <f t="shared" si="45"/>
        <v/>
      </c>
      <c r="AA21" s="18" t="str">
        <f t="shared" si="45"/>
        <v/>
      </c>
      <c r="AB21" s="18" t="str">
        <f t="shared" si="45"/>
        <v/>
      </c>
      <c r="AC21" s="18" t="str">
        <f t="shared" si="45"/>
        <v/>
      </c>
      <c r="AD21" s="18" t="str">
        <f t="shared" si="45"/>
        <v/>
      </c>
      <c r="AE21" s="18" t="str">
        <f t="shared" si="45"/>
        <v/>
      </c>
      <c r="AF21" s="18" t="str">
        <f t="shared" si="45"/>
        <v/>
      </c>
      <c r="AG21" s="18" t="str">
        <f t="shared" si="45"/>
        <v/>
      </c>
      <c r="AH21" s="18" t="str">
        <f t="shared" si="45"/>
        <v/>
      </c>
      <c r="AI21" s="18" t="str">
        <f t="shared" si="45"/>
        <v>y</v>
      </c>
      <c r="AJ21" s="18" t="str">
        <f t="shared" si="45"/>
        <v>y</v>
      </c>
      <c r="AK21" s="18" t="str">
        <f t="shared" si="45"/>
        <v>y</v>
      </c>
      <c r="AL21" s="18" t="str">
        <f t="shared" si="45"/>
        <v>y</v>
      </c>
      <c r="AM21" s="18" t="str">
        <f t="shared" si="45"/>
        <v>y</v>
      </c>
      <c r="AN21" s="18" t="str">
        <f t="shared" si="45"/>
        <v>y</v>
      </c>
      <c r="AO21" s="18" t="str">
        <f t="shared" si="45"/>
        <v>y</v>
      </c>
      <c r="AP21" s="18" t="str">
        <f t="shared" si="45"/>
        <v/>
      </c>
      <c r="AQ21" s="18" t="str">
        <f t="shared" si="45"/>
        <v/>
      </c>
      <c r="AR21" s="18" t="str">
        <f t="shared" si="45"/>
        <v/>
      </c>
      <c r="AS21" s="18" t="str">
        <f t="shared" si="45"/>
        <v/>
      </c>
      <c r="AT21" s="18" t="str">
        <f t="shared" ref="AT21:BY21" si="46">IF(AND($L21&lt;=AT$4,$M21&gt;=AT$4),"y","")</f>
        <v/>
      </c>
      <c r="AU21" s="18" t="str">
        <f t="shared" si="46"/>
        <v/>
      </c>
      <c r="AV21" s="18" t="str">
        <f t="shared" si="46"/>
        <v/>
      </c>
      <c r="AW21" s="18" t="str">
        <f t="shared" si="46"/>
        <v/>
      </c>
      <c r="AX21" s="18" t="str">
        <f t="shared" si="46"/>
        <v/>
      </c>
      <c r="AY21" s="18" t="str">
        <f t="shared" si="46"/>
        <v/>
      </c>
      <c r="AZ21" s="18" t="str">
        <f t="shared" si="46"/>
        <v/>
      </c>
      <c r="BA21" s="18" t="str">
        <f t="shared" si="46"/>
        <v/>
      </c>
      <c r="BB21" s="18" t="str">
        <f t="shared" si="46"/>
        <v/>
      </c>
      <c r="BC21" s="18" t="str">
        <f t="shared" si="46"/>
        <v/>
      </c>
      <c r="BD21" s="18" t="str">
        <f t="shared" si="46"/>
        <v/>
      </c>
      <c r="BE21" s="18" t="str">
        <f t="shared" si="46"/>
        <v/>
      </c>
      <c r="BF21" s="18" t="str">
        <f t="shared" si="46"/>
        <v/>
      </c>
      <c r="BG21" s="18" t="str">
        <f t="shared" si="46"/>
        <v/>
      </c>
      <c r="BH21" s="18" t="str">
        <f t="shared" si="46"/>
        <v/>
      </c>
      <c r="BI21" s="18" t="str">
        <f t="shared" si="46"/>
        <v/>
      </c>
      <c r="BJ21" s="18" t="str">
        <f t="shared" si="46"/>
        <v/>
      </c>
      <c r="BK21" s="18" t="str">
        <f t="shared" si="46"/>
        <v/>
      </c>
      <c r="BL21" s="18" t="str">
        <f t="shared" si="46"/>
        <v/>
      </c>
      <c r="BM21" s="18" t="str">
        <f t="shared" si="46"/>
        <v/>
      </c>
      <c r="BN21" s="18" t="str">
        <f t="shared" si="46"/>
        <v/>
      </c>
      <c r="BO21" s="18" t="str">
        <f t="shared" si="46"/>
        <v/>
      </c>
      <c r="BP21" s="18" t="str">
        <f t="shared" si="46"/>
        <v/>
      </c>
      <c r="BQ21" s="18" t="str">
        <f t="shared" si="46"/>
        <v/>
      </c>
      <c r="BR21" s="18" t="str">
        <f t="shared" si="46"/>
        <v/>
      </c>
      <c r="BS21" s="18" t="str">
        <f t="shared" si="46"/>
        <v/>
      </c>
      <c r="BT21" s="18" t="str">
        <f t="shared" si="46"/>
        <v/>
      </c>
      <c r="BU21" s="18" t="str">
        <f t="shared" si="46"/>
        <v/>
      </c>
      <c r="BV21" s="18" t="str">
        <f t="shared" si="46"/>
        <v/>
      </c>
      <c r="BW21" s="18" t="str">
        <f t="shared" si="46"/>
        <v/>
      </c>
      <c r="BX21" s="18" t="str">
        <f t="shared" si="46"/>
        <v/>
      </c>
      <c r="BY21" s="18" t="str">
        <f t="shared" si="46"/>
        <v/>
      </c>
      <c r="BZ21" s="18" t="str">
        <f t="shared" ref="BZ21:CZ21" si="47">IF(AND($L21&lt;=BZ$4,$M21&gt;=BZ$4),"y","")</f>
        <v/>
      </c>
      <c r="CA21" s="18" t="str">
        <f t="shared" si="47"/>
        <v/>
      </c>
      <c r="CB21" s="18" t="str">
        <f t="shared" si="47"/>
        <v/>
      </c>
      <c r="CC21" s="18" t="str">
        <f t="shared" si="47"/>
        <v/>
      </c>
      <c r="CD21" s="18" t="str">
        <f t="shared" si="47"/>
        <v/>
      </c>
      <c r="CE21" s="18" t="str">
        <f t="shared" si="47"/>
        <v/>
      </c>
      <c r="CF21" s="18" t="str">
        <f t="shared" si="47"/>
        <v/>
      </c>
      <c r="CG21" s="18" t="str">
        <f t="shared" si="47"/>
        <v/>
      </c>
      <c r="CH21" s="18" t="str">
        <f t="shared" si="47"/>
        <v/>
      </c>
      <c r="CI21" s="18" t="str">
        <f t="shared" si="47"/>
        <v/>
      </c>
      <c r="CJ21" s="18" t="str">
        <f t="shared" si="47"/>
        <v/>
      </c>
      <c r="CK21" s="18" t="str">
        <f t="shared" si="47"/>
        <v/>
      </c>
      <c r="CL21" s="18" t="str">
        <f t="shared" si="47"/>
        <v/>
      </c>
      <c r="CM21" s="18" t="str">
        <f t="shared" si="47"/>
        <v/>
      </c>
      <c r="CN21" s="18" t="str">
        <f t="shared" si="47"/>
        <v/>
      </c>
      <c r="CO21" s="18" t="str">
        <f t="shared" si="47"/>
        <v/>
      </c>
      <c r="CP21" s="18" t="str">
        <f t="shared" si="47"/>
        <v/>
      </c>
      <c r="CQ21" s="18" t="str">
        <f t="shared" si="47"/>
        <v/>
      </c>
      <c r="CR21" s="18" t="str">
        <f t="shared" si="47"/>
        <v/>
      </c>
      <c r="CS21" s="18" t="str">
        <f t="shared" si="47"/>
        <v/>
      </c>
      <c r="CT21" s="18" t="str">
        <f t="shared" si="47"/>
        <v/>
      </c>
      <c r="CU21" s="18" t="str">
        <f t="shared" si="47"/>
        <v/>
      </c>
      <c r="CV21" s="18" t="str">
        <f t="shared" si="47"/>
        <v/>
      </c>
      <c r="CW21" s="18" t="str">
        <f t="shared" si="47"/>
        <v/>
      </c>
      <c r="CX21" s="18" t="str">
        <f t="shared" si="47"/>
        <v/>
      </c>
      <c r="CY21" s="18" t="str">
        <f t="shared" si="47"/>
        <v/>
      </c>
      <c r="CZ21" s="18" t="str">
        <f t="shared" si="47"/>
        <v/>
      </c>
    </row>
    <row r="22" spans="1:104" ht="15" customHeight="1" x14ac:dyDescent="0.3">
      <c r="A22" s="3" t="s">
        <v>51</v>
      </c>
      <c r="B22" s="2" t="s">
        <v>45</v>
      </c>
      <c r="C22" s="3" t="s">
        <v>46</v>
      </c>
      <c r="D22" s="1" t="s">
        <v>52</v>
      </c>
      <c r="E22" s="1" t="s">
        <v>53</v>
      </c>
      <c r="F22" s="16" t="s">
        <v>54</v>
      </c>
      <c r="G22" s="15" t="s">
        <v>50</v>
      </c>
      <c r="H22" s="15" t="s">
        <v>50</v>
      </c>
      <c r="I22" s="15">
        <f>K22-J22+1</f>
        <v>7</v>
      </c>
      <c r="J22" s="17">
        <v>45929</v>
      </c>
      <c r="K22" s="17">
        <v>45935</v>
      </c>
      <c r="N22" s="18" t="str">
        <f t="shared" ref="N22:AS22" si="48">IF($D22="","",IF(AND($J22&lt;=N$4,$K22&gt;=N$4),"x",""))</f>
        <v/>
      </c>
      <c r="O22" s="18" t="str">
        <f t="shared" si="48"/>
        <v/>
      </c>
      <c r="P22" s="18" t="str">
        <f t="shared" si="48"/>
        <v/>
      </c>
      <c r="Q22" s="18" t="str">
        <f t="shared" si="48"/>
        <v/>
      </c>
      <c r="R22" s="18" t="str">
        <f t="shared" si="48"/>
        <v/>
      </c>
      <c r="S22" s="18" t="str">
        <f t="shared" si="48"/>
        <v/>
      </c>
      <c r="T22" s="18" t="str">
        <f t="shared" si="48"/>
        <v/>
      </c>
      <c r="U22" s="18" t="str">
        <f t="shared" si="48"/>
        <v/>
      </c>
      <c r="V22" s="18" t="str">
        <f t="shared" si="48"/>
        <v/>
      </c>
      <c r="W22" s="18" t="str">
        <f t="shared" si="48"/>
        <v/>
      </c>
      <c r="X22" s="18" t="str">
        <f t="shared" si="48"/>
        <v/>
      </c>
      <c r="Y22" s="18" t="str">
        <f t="shared" si="48"/>
        <v/>
      </c>
      <c r="Z22" s="18" t="str">
        <f t="shared" si="48"/>
        <v/>
      </c>
      <c r="AA22" s="18" t="str">
        <f t="shared" si="48"/>
        <v/>
      </c>
      <c r="AB22" s="18" t="str">
        <f t="shared" si="48"/>
        <v/>
      </c>
      <c r="AC22" s="18" t="str">
        <f t="shared" si="48"/>
        <v/>
      </c>
      <c r="AD22" s="18" t="str">
        <f t="shared" si="48"/>
        <v/>
      </c>
      <c r="AE22" s="18" t="str">
        <f t="shared" si="48"/>
        <v/>
      </c>
      <c r="AF22" s="18" t="str">
        <f t="shared" si="48"/>
        <v/>
      </c>
      <c r="AG22" s="18" t="str">
        <f t="shared" si="48"/>
        <v/>
      </c>
      <c r="AH22" s="18" t="str">
        <f t="shared" si="48"/>
        <v/>
      </c>
      <c r="AI22" s="18" t="str">
        <f t="shared" si="48"/>
        <v>x</v>
      </c>
      <c r="AJ22" s="18" t="str">
        <f t="shared" si="48"/>
        <v>x</v>
      </c>
      <c r="AK22" s="18" t="str">
        <f t="shared" si="48"/>
        <v>x</v>
      </c>
      <c r="AL22" s="18" t="str">
        <f t="shared" si="48"/>
        <v>x</v>
      </c>
      <c r="AM22" s="18" t="str">
        <f t="shared" si="48"/>
        <v>x</v>
      </c>
      <c r="AN22" s="18" t="str">
        <f t="shared" si="48"/>
        <v>x</v>
      </c>
      <c r="AO22" s="18" t="str">
        <f t="shared" si="48"/>
        <v>x</v>
      </c>
      <c r="AP22" s="18" t="str">
        <f t="shared" si="48"/>
        <v/>
      </c>
      <c r="AQ22" s="18" t="str">
        <f t="shared" si="48"/>
        <v/>
      </c>
      <c r="AR22" s="18" t="str">
        <f t="shared" si="48"/>
        <v/>
      </c>
      <c r="AS22" s="18" t="str">
        <f t="shared" si="48"/>
        <v/>
      </c>
      <c r="AT22" s="18" t="str">
        <f t="shared" ref="AT22:BY22" si="49">IF($D22="","",IF(AND($J22&lt;=AT$4,$K22&gt;=AT$4),"x",""))</f>
        <v/>
      </c>
      <c r="AU22" s="18" t="str">
        <f t="shared" si="49"/>
        <v/>
      </c>
      <c r="AV22" s="18" t="str">
        <f t="shared" si="49"/>
        <v/>
      </c>
      <c r="AW22" s="18" t="str">
        <f t="shared" si="49"/>
        <v/>
      </c>
      <c r="AX22" s="18" t="str">
        <f t="shared" si="49"/>
        <v/>
      </c>
      <c r="AY22" s="18" t="str">
        <f t="shared" si="49"/>
        <v/>
      </c>
      <c r="AZ22" s="18" t="str">
        <f t="shared" si="49"/>
        <v/>
      </c>
      <c r="BA22" s="18" t="str">
        <f t="shared" si="49"/>
        <v/>
      </c>
      <c r="BB22" s="18" t="str">
        <f t="shared" si="49"/>
        <v/>
      </c>
      <c r="BC22" s="18" t="str">
        <f t="shared" si="49"/>
        <v/>
      </c>
      <c r="BD22" s="18" t="str">
        <f t="shared" si="49"/>
        <v/>
      </c>
      <c r="BE22" s="18" t="str">
        <f t="shared" si="49"/>
        <v/>
      </c>
      <c r="BF22" s="18" t="str">
        <f t="shared" si="49"/>
        <v/>
      </c>
      <c r="BG22" s="18" t="str">
        <f t="shared" si="49"/>
        <v/>
      </c>
      <c r="BH22" s="18" t="str">
        <f t="shared" si="49"/>
        <v/>
      </c>
      <c r="BI22" s="18" t="str">
        <f t="shared" si="49"/>
        <v/>
      </c>
      <c r="BJ22" s="18" t="str">
        <f t="shared" si="49"/>
        <v/>
      </c>
      <c r="BK22" s="18" t="str">
        <f t="shared" si="49"/>
        <v/>
      </c>
      <c r="BL22" s="18" t="str">
        <f t="shared" si="49"/>
        <v/>
      </c>
      <c r="BM22" s="18" t="str">
        <f t="shared" si="49"/>
        <v/>
      </c>
      <c r="BN22" s="18" t="str">
        <f t="shared" si="49"/>
        <v/>
      </c>
      <c r="BO22" s="18" t="str">
        <f t="shared" si="49"/>
        <v/>
      </c>
      <c r="BP22" s="18" t="str">
        <f t="shared" si="49"/>
        <v/>
      </c>
      <c r="BQ22" s="18" t="str">
        <f t="shared" si="49"/>
        <v/>
      </c>
      <c r="BR22" s="18" t="str">
        <f t="shared" si="49"/>
        <v/>
      </c>
      <c r="BS22" s="18" t="str">
        <f t="shared" si="49"/>
        <v/>
      </c>
      <c r="BT22" s="18" t="str">
        <f t="shared" si="49"/>
        <v/>
      </c>
      <c r="BU22" s="18" t="str">
        <f t="shared" si="49"/>
        <v/>
      </c>
      <c r="BV22" s="18" t="str">
        <f t="shared" si="49"/>
        <v/>
      </c>
      <c r="BW22" s="18" t="str">
        <f t="shared" si="49"/>
        <v/>
      </c>
      <c r="BX22" s="18" t="str">
        <f t="shared" si="49"/>
        <v/>
      </c>
      <c r="BY22" s="18" t="str">
        <f t="shared" si="49"/>
        <v/>
      </c>
      <c r="BZ22" s="18" t="str">
        <f t="shared" ref="BZ22:CZ22" si="50">IF($D22="","",IF(AND($J22&lt;=BZ$4,$K22&gt;=BZ$4),"x",""))</f>
        <v/>
      </c>
      <c r="CA22" s="18" t="str">
        <f t="shared" si="50"/>
        <v/>
      </c>
      <c r="CB22" s="18" t="str">
        <f t="shared" si="50"/>
        <v/>
      </c>
      <c r="CC22" s="18" t="str">
        <f t="shared" si="50"/>
        <v/>
      </c>
      <c r="CD22" s="18" t="str">
        <f t="shared" si="50"/>
        <v/>
      </c>
      <c r="CE22" s="18" t="str">
        <f t="shared" si="50"/>
        <v/>
      </c>
      <c r="CF22" s="18" t="str">
        <f t="shared" si="50"/>
        <v/>
      </c>
      <c r="CG22" s="18" t="str">
        <f t="shared" si="50"/>
        <v/>
      </c>
      <c r="CH22" s="18" t="str">
        <f t="shared" si="50"/>
        <v/>
      </c>
      <c r="CI22" s="18" t="str">
        <f t="shared" si="50"/>
        <v/>
      </c>
      <c r="CJ22" s="18" t="str">
        <f t="shared" si="50"/>
        <v/>
      </c>
      <c r="CK22" s="18" t="str">
        <f t="shared" si="50"/>
        <v/>
      </c>
      <c r="CL22" s="18" t="str">
        <f t="shared" si="50"/>
        <v/>
      </c>
      <c r="CM22" s="18" t="str">
        <f t="shared" si="50"/>
        <v/>
      </c>
      <c r="CN22" s="18" t="str">
        <f t="shared" si="50"/>
        <v/>
      </c>
      <c r="CO22" s="18" t="str">
        <f t="shared" si="50"/>
        <v/>
      </c>
      <c r="CP22" s="18" t="str">
        <f t="shared" si="50"/>
        <v/>
      </c>
      <c r="CQ22" s="18" t="str">
        <f t="shared" si="50"/>
        <v/>
      </c>
      <c r="CR22" s="18" t="str">
        <f t="shared" si="50"/>
        <v/>
      </c>
      <c r="CS22" s="18" t="str">
        <f t="shared" si="50"/>
        <v/>
      </c>
      <c r="CT22" s="18" t="str">
        <f t="shared" si="50"/>
        <v/>
      </c>
      <c r="CU22" s="18" t="str">
        <f t="shared" si="50"/>
        <v/>
      </c>
      <c r="CV22" s="18" t="str">
        <f t="shared" si="50"/>
        <v/>
      </c>
      <c r="CW22" s="18" t="str">
        <f t="shared" si="50"/>
        <v/>
      </c>
      <c r="CX22" s="18" t="str">
        <f t="shared" si="50"/>
        <v/>
      </c>
      <c r="CY22" s="18" t="str">
        <f t="shared" si="50"/>
        <v/>
      </c>
      <c r="CZ22" s="18" t="str">
        <f t="shared" si="50"/>
        <v/>
      </c>
    </row>
    <row r="23" spans="1:104" ht="15" customHeight="1" x14ac:dyDescent="0.3">
      <c r="A23" s="3"/>
      <c r="B23" s="2"/>
      <c r="C23" s="3"/>
      <c r="D23" s="3"/>
      <c r="E23" s="3"/>
      <c r="F23" s="19"/>
      <c r="J23" s="20"/>
      <c r="K23" s="20"/>
      <c r="L23" s="21">
        <v>45929</v>
      </c>
      <c r="M23" s="21">
        <v>45935</v>
      </c>
      <c r="N23" s="18" t="str">
        <f t="shared" ref="N23:AS23" si="51">IF(AND($L23&lt;=N$4,$M23&gt;=N$4),"y","")</f>
        <v/>
      </c>
      <c r="O23" s="18" t="str">
        <f t="shared" si="51"/>
        <v/>
      </c>
      <c r="P23" s="18" t="str">
        <f t="shared" si="51"/>
        <v/>
      </c>
      <c r="Q23" s="18" t="str">
        <f t="shared" si="51"/>
        <v/>
      </c>
      <c r="R23" s="18" t="str">
        <f t="shared" si="51"/>
        <v/>
      </c>
      <c r="S23" s="18" t="str">
        <f t="shared" si="51"/>
        <v/>
      </c>
      <c r="T23" s="18" t="str">
        <f t="shared" si="51"/>
        <v/>
      </c>
      <c r="U23" s="18" t="str">
        <f t="shared" si="51"/>
        <v/>
      </c>
      <c r="V23" s="18" t="str">
        <f t="shared" si="51"/>
        <v/>
      </c>
      <c r="W23" s="18" t="str">
        <f t="shared" si="51"/>
        <v/>
      </c>
      <c r="X23" s="18" t="str">
        <f t="shared" si="51"/>
        <v/>
      </c>
      <c r="Y23" s="18" t="str">
        <f t="shared" si="51"/>
        <v/>
      </c>
      <c r="Z23" s="18" t="str">
        <f t="shared" si="51"/>
        <v/>
      </c>
      <c r="AA23" s="18" t="str">
        <f t="shared" si="51"/>
        <v/>
      </c>
      <c r="AB23" s="18" t="str">
        <f t="shared" si="51"/>
        <v/>
      </c>
      <c r="AC23" s="18" t="str">
        <f t="shared" si="51"/>
        <v/>
      </c>
      <c r="AD23" s="18" t="str">
        <f t="shared" si="51"/>
        <v/>
      </c>
      <c r="AE23" s="18" t="str">
        <f t="shared" si="51"/>
        <v/>
      </c>
      <c r="AF23" s="18" t="str">
        <f t="shared" si="51"/>
        <v/>
      </c>
      <c r="AG23" s="18" t="str">
        <f t="shared" si="51"/>
        <v/>
      </c>
      <c r="AH23" s="18" t="str">
        <f t="shared" si="51"/>
        <v/>
      </c>
      <c r="AI23" s="18" t="str">
        <f t="shared" si="51"/>
        <v>y</v>
      </c>
      <c r="AJ23" s="18" t="str">
        <f t="shared" si="51"/>
        <v>y</v>
      </c>
      <c r="AK23" s="18" t="str">
        <f t="shared" si="51"/>
        <v>y</v>
      </c>
      <c r="AL23" s="18" t="str">
        <f t="shared" si="51"/>
        <v>y</v>
      </c>
      <c r="AM23" s="18" t="str">
        <f t="shared" si="51"/>
        <v>y</v>
      </c>
      <c r="AN23" s="18" t="str">
        <f t="shared" si="51"/>
        <v>y</v>
      </c>
      <c r="AO23" s="18" t="str">
        <f t="shared" si="51"/>
        <v>y</v>
      </c>
      <c r="AP23" s="18" t="str">
        <f t="shared" si="51"/>
        <v/>
      </c>
      <c r="AQ23" s="18" t="str">
        <f t="shared" si="51"/>
        <v/>
      </c>
      <c r="AR23" s="18" t="str">
        <f t="shared" si="51"/>
        <v/>
      </c>
      <c r="AS23" s="18" t="str">
        <f t="shared" si="51"/>
        <v/>
      </c>
      <c r="AT23" s="18" t="str">
        <f t="shared" ref="AT23:BY23" si="52">IF(AND($L23&lt;=AT$4,$M23&gt;=AT$4),"y","")</f>
        <v/>
      </c>
      <c r="AU23" s="18" t="str">
        <f t="shared" si="52"/>
        <v/>
      </c>
      <c r="AV23" s="18" t="str">
        <f t="shared" si="52"/>
        <v/>
      </c>
      <c r="AW23" s="18" t="str">
        <f t="shared" si="52"/>
        <v/>
      </c>
      <c r="AX23" s="18" t="str">
        <f t="shared" si="52"/>
        <v/>
      </c>
      <c r="AY23" s="18" t="str">
        <f t="shared" si="52"/>
        <v/>
      </c>
      <c r="AZ23" s="18" t="str">
        <f t="shared" si="52"/>
        <v/>
      </c>
      <c r="BA23" s="18" t="str">
        <f t="shared" si="52"/>
        <v/>
      </c>
      <c r="BB23" s="18" t="str">
        <f t="shared" si="52"/>
        <v/>
      </c>
      <c r="BC23" s="18" t="str">
        <f t="shared" si="52"/>
        <v/>
      </c>
      <c r="BD23" s="18" t="str">
        <f t="shared" si="52"/>
        <v/>
      </c>
      <c r="BE23" s="18" t="str">
        <f t="shared" si="52"/>
        <v/>
      </c>
      <c r="BF23" s="18" t="str">
        <f t="shared" si="52"/>
        <v/>
      </c>
      <c r="BG23" s="18" t="str">
        <f t="shared" si="52"/>
        <v/>
      </c>
      <c r="BH23" s="18" t="str">
        <f t="shared" si="52"/>
        <v/>
      </c>
      <c r="BI23" s="18" t="str">
        <f t="shared" si="52"/>
        <v/>
      </c>
      <c r="BJ23" s="18" t="str">
        <f t="shared" si="52"/>
        <v/>
      </c>
      <c r="BK23" s="18" t="str">
        <f t="shared" si="52"/>
        <v/>
      </c>
      <c r="BL23" s="18" t="str">
        <f t="shared" si="52"/>
        <v/>
      </c>
      <c r="BM23" s="18" t="str">
        <f t="shared" si="52"/>
        <v/>
      </c>
      <c r="BN23" s="18" t="str">
        <f t="shared" si="52"/>
        <v/>
      </c>
      <c r="BO23" s="18" t="str">
        <f t="shared" si="52"/>
        <v/>
      </c>
      <c r="BP23" s="18" t="str">
        <f t="shared" si="52"/>
        <v/>
      </c>
      <c r="BQ23" s="18" t="str">
        <f t="shared" si="52"/>
        <v/>
      </c>
      <c r="BR23" s="18" t="str">
        <f t="shared" si="52"/>
        <v/>
      </c>
      <c r="BS23" s="18" t="str">
        <f t="shared" si="52"/>
        <v/>
      </c>
      <c r="BT23" s="18" t="str">
        <f t="shared" si="52"/>
        <v/>
      </c>
      <c r="BU23" s="18" t="str">
        <f t="shared" si="52"/>
        <v/>
      </c>
      <c r="BV23" s="18" t="str">
        <f t="shared" si="52"/>
        <v/>
      </c>
      <c r="BW23" s="18" t="str">
        <f t="shared" si="52"/>
        <v/>
      </c>
      <c r="BX23" s="18" t="str">
        <f t="shared" si="52"/>
        <v/>
      </c>
      <c r="BY23" s="18" t="str">
        <f t="shared" si="52"/>
        <v/>
      </c>
      <c r="BZ23" s="18" t="str">
        <f t="shared" ref="BZ23:CZ23" si="53">IF(AND($L23&lt;=BZ$4,$M23&gt;=BZ$4),"y","")</f>
        <v/>
      </c>
      <c r="CA23" s="18" t="str">
        <f t="shared" si="53"/>
        <v/>
      </c>
      <c r="CB23" s="18" t="str">
        <f t="shared" si="53"/>
        <v/>
      </c>
      <c r="CC23" s="18" t="str">
        <f t="shared" si="53"/>
        <v/>
      </c>
      <c r="CD23" s="18" t="str">
        <f t="shared" si="53"/>
        <v/>
      </c>
      <c r="CE23" s="18" t="str">
        <f t="shared" si="53"/>
        <v/>
      </c>
      <c r="CF23" s="18" t="str">
        <f t="shared" si="53"/>
        <v/>
      </c>
      <c r="CG23" s="18" t="str">
        <f t="shared" si="53"/>
        <v/>
      </c>
      <c r="CH23" s="18" t="str">
        <f t="shared" si="53"/>
        <v/>
      </c>
      <c r="CI23" s="18" t="str">
        <f t="shared" si="53"/>
        <v/>
      </c>
      <c r="CJ23" s="18" t="str">
        <f t="shared" si="53"/>
        <v/>
      </c>
      <c r="CK23" s="18" t="str">
        <f t="shared" si="53"/>
        <v/>
      </c>
      <c r="CL23" s="18" t="str">
        <f t="shared" si="53"/>
        <v/>
      </c>
      <c r="CM23" s="18" t="str">
        <f t="shared" si="53"/>
        <v/>
      </c>
      <c r="CN23" s="18" t="str">
        <f t="shared" si="53"/>
        <v/>
      </c>
      <c r="CO23" s="18" t="str">
        <f t="shared" si="53"/>
        <v/>
      </c>
      <c r="CP23" s="18" t="str">
        <f t="shared" si="53"/>
        <v/>
      </c>
      <c r="CQ23" s="18" t="str">
        <f t="shared" si="53"/>
        <v/>
      </c>
      <c r="CR23" s="18" t="str">
        <f t="shared" si="53"/>
        <v/>
      </c>
      <c r="CS23" s="18" t="str">
        <f t="shared" si="53"/>
        <v/>
      </c>
      <c r="CT23" s="18" t="str">
        <f t="shared" si="53"/>
        <v/>
      </c>
      <c r="CU23" s="18" t="str">
        <f t="shared" si="53"/>
        <v/>
      </c>
      <c r="CV23" s="18" t="str">
        <f t="shared" si="53"/>
        <v/>
      </c>
      <c r="CW23" s="18" t="str">
        <f t="shared" si="53"/>
        <v/>
      </c>
      <c r="CX23" s="18" t="str">
        <f t="shared" si="53"/>
        <v/>
      </c>
      <c r="CY23" s="18" t="str">
        <f t="shared" si="53"/>
        <v/>
      </c>
      <c r="CZ23" s="18" t="str">
        <f t="shared" si="53"/>
        <v/>
      </c>
    </row>
    <row r="24" spans="1:104" ht="21.75" customHeight="1" x14ac:dyDescent="0.3">
      <c r="A24" s="4" t="s">
        <v>55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10"/>
    </row>
    <row r="25" spans="1:104" ht="15" customHeight="1" x14ac:dyDescent="0.3">
      <c r="A25" s="3" t="s">
        <v>56</v>
      </c>
      <c r="B25" s="2" t="s">
        <v>57</v>
      </c>
      <c r="C25" s="3" t="s">
        <v>58</v>
      </c>
      <c r="D25" s="1" t="s">
        <v>59</v>
      </c>
      <c r="E25" s="1" t="s">
        <v>60</v>
      </c>
      <c r="F25" s="16" t="s">
        <v>61</v>
      </c>
      <c r="G25" s="15" t="s">
        <v>62</v>
      </c>
      <c r="H25" s="15" t="s">
        <v>62</v>
      </c>
      <c r="I25" s="15">
        <f>K25-J25+1</f>
        <v>7</v>
      </c>
      <c r="J25" s="17">
        <v>45936</v>
      </c>
      <c r="K25" s="17">
        <v>45942</v>
      </c>
      <c r="N25" s="18" t="str">
        <f t="shared" ref="N25:AS25" si="54">IF($D25="","",IF(AND($J25&lt;=N$4,$K25&gt;=N$4),"x",""))</f>
        <v/>
      </c>
      <c r="O25" s="18" t="str">
        <f t="shared" si="54"/>
        <v/>
      </c>
      <c r="P25" s="18" t="str">
        <f t="shared" si="54"/>
        <v/>
      </c>
      <c r="Q25" s="18" t="str">
        <f t="shared" si="54"/>
        <v/>
      </c>
      <c r="R25" s="18" t="str">
        <f t="shared" si="54"/>
        <v/>
      </c>
      <c r="S25" s="18" t="str">
        <f t="shared" si="54"/>
        <v/>
      </c>
      <c r="T25" s="18" t="str">
        <f t="shared" si="54"/>
        <v/>
      </c>
      <c r="U25" s="18" t="str">
        <f t="shared" si="54"/>
        <v/>
      </c>
      <c r="V25" s="18" t="str">
        <f t="shared" si="54"/>
        <v/>
      </c>
      <c r="W25" s="18" t="str">
        <f t="shared" si="54"/>
        <v/>
      </c>
      <c r="X25" s="18" t="str">
        <f t="shared" si="54"/>
        <v/>
      </c>
      <c r="Y25" s="18" t="str">
        <f t="shared" si="54"/>
        <v/>
      </c>
      <c r="Z25" s="18" t="str">
        <f t="shared" si="54"/>
        <v/>
      </c>
      <c r="AA25" s="18" t="str">
        <f t="shared" si="54"/>
        <v/>
      </c>
      <c r="AB25" s="18" t="str">
        <f t="shared" si="54"/>
        <v/>
      </c>
      <c r="AC25" s="18" t="str">
        <f t="shared" si="54"/>
        <v/>
      </c>
      <c r="AD25" s="18" t="str">
        <f t="shared" si="54"/>
        <v/>
      </c>
      <c r="AE25" s="18" t="str">
        <f t="shared" si="54"/>
        <v/>
      </c>
      <c r="AF25" s="18" t="str">
        <f t="shared" si="54"/>
        <v/>
      </c>
      <c r="AG25" s="18" t="str">
        <f t="shared" si="54"/>
        <v/>
      </c>
      <c r="AH25" s="18" t="str">
        <f t="shared" si="54"/>
        <v/>
      </c>
      <c r="AI25" s="18" t="str">
        <f t="shared" si="54"/>
        <v/>
      </c>
      <c r="AJ25" s="18" t="str">
        <f t="shared" si="54"/>
        <v/>
      </c>
      <c r="AK25" s="18" t="str">
        <f t="shared" si="54"/>
        <v/>
      </c>
      <c r="AL25" s="18" t="str">
        <f t="shared" si="54"/>
        <v/>
      </c>
      <c r="AM25" s="18" t="str">
        <f t="shared" si="54"/>
        <v/>
      </c>
      <c r="AN25" s="18" t="str">
        <f t="shared" si="54"/>
        <v/>
      </c>
      <c r="AO25" s="18" t="str">
        <f t="shared" si="54"/>
        <v/>
      </c>
      <c r="AP25" s="18" t="str">
        <f t="shared" si="54"/>
        <v>x</v>
      </c>
      <c r="AQ25" s="18" t="str">
        <f t="shared" si="54"/>
        <v>x</v>
      </c>
      <c r="AR25" s="18" t="str">
        <f t="shared" si="54"/>
        <v>x</v>
      </c>
      <c r="AS25" s="18" t="str">
        <f t="shared" si="54"/>
        <v>x</v>
      </c>
      <c r="AT25" s="18" t="str">
        <f t="shared" ref="AT25:BY25" si="55">IF($D25="","",IF(AND($J25&lt;=AT$4,$K25&gt;=AT$4),"x",""))</f>
        <v>x</v>
      </c>
      <c r="AU25" s="18" t="str">
        <f t="shared" si="55"/>
        <v>x</v>
      </c>
      <c r="AV25" s="18" t="str">
        <f t="shared" si="55"/>
        <v>x</v>
      </c>
      <c r="AW25" s="18" t="str">
        <f t="shared" si="55"/>
        <v/>
      </c>
      <c r="AX25" s="18" t="str">
        <f t="shared" si="55"/>
        <v/>
      </c>
      <c r="AY25" s="18" t="str">
        <f t="shared" si="55"/>
        <v/>
      </c>
      <c r="AZ25" s="18" t="str">
        <f t="shared" si="55"/>
        <v/>
      </c>
      <c r="BA25" s="18" t="str">
        <f t="shared" si="55"/>
        <v/>
      </c>
      <c r="BB25" s="18" t="str">
        <f t="shared" si="55"/>
        <v/>
      </c>
      <c r="BC25" s="18" t="str">
        <f t="shared" si="55"/>
        <v/>
      </c>
      <c r="BD25" s="18" t="str">
        <f t="shared" si="55"/>
        <v/>
      </c>
      <c r="BE25" s="18" t="str">
        <f t="shared" si="55"/>
        <v/>
      </c>
      <c r="BF25" s="18" t="str">
        <f t="shared" si="55"/>
        <v/>
      </c>
      <c r="BG25" s="18" t="str">
        <f t="shared" si="55"/>
        <v/>
      </c>
      <c r="BH25" s="18" t="str">
        <f t="shared" si="55"/>
        <v/>
      </c>
      <c r="BI25" s="18" t="str">
        <f t="shared" si="55"/>
        <v/>
      </c>
      <c r="BJ25" s="18" t="str">
        <f t="shared" si="55"/>
        <v/>
      </c>
      <c r="BK25" s="18" t="str">
        <f t="shared" si="55"/>
        <v/>
      </c>
      <c r="BL25" s="18" t="str">
        <f t="shared" si="55"/>
        <v/>
      </c>
      <c r="BM25" s="18" t="str">
        <f t="shared" si="55"/>
        <v/>
      </c>
      <c r="BN25" s="18" t="str">
        <f t="shared" si="55"/>
        <v/>
      </c>
      <c r="BO25" s="18" t="str">
        <f t="shared" si="55"/>
        <v/>
      </c>
      <c r="BP25" s="18" t="str">
        <f t="shared" si="55"/>
        <v/>
      </c>
      <c r="BQ25" s="18" t="str">
        <f t="shared" si="55"/>
        <v/>
      </c>
      <c r="BR25" s="18" t="str">
        <f t="shared" si="55"/>
        <v/>
      </c>
      <c r="BS25" s="18" t="str">
        <f t="shared" si="55"/>
        <v/>
      </c>
      <c r="BT25" s="18" t="str">
        <f t="shared" si="55"/>
        <v/>
      </c>
      <c r="BU25" s="18" t="str">
        <f t="shared" si="55"/>
        <v/>
      </c>
      <c r="BV25" s="18" t="str">
        <f t="shared" si="55"/>
        <v/>
      </c>
      <c r="BW25" s="18" t="str">
        <f t="shared" si="55"/>
        <v/>
      </c>
      <c r="BX25" s="18" t="str">
        <f t="shared" si="55"/>
        <v/>
      </c>
      <c r="BY25" s="18" t="str">
        <f t="shared" si="55"/>
        <v/>
      </c>
      <c r="BZ25" s="18" t="str">
        <f t="shared" ref="BZ25:CZ25" si="56">IF($D25="","",IF(AND($J25&lt;=BZ$4,$K25&gt;=BZ$4),"x",""))</f>
        <v/>
      </c>
      <c r="CA25" s="18" t="str">
        <f t="shared" si="56"/>
        <v/>
      </c>
      <c r="CB25" s="18" t="str">
        <f t="shared" si="56"/>
        <v/>
      </c>
      <c r="CC25" s="18" t="str">
        <f t="shared" si="56"/>
        <v/>
      </c>
      <c r="CD25" s="18" t="str">
        <f t="shared" si="56"/>
        <v/>
      </c>
      <c r="CE25" s="18" t="str">
        <f t="shared" si="56"/>
        <v/>
      </c>
      <c r="CF25" s="18" t="str">
        <f t="shared" si="56"/>
        <v/>
      </c>
      <c r="CG25" s="18" t="str">
        <f t="shared" si="56"/>
        <v/>
      </c>
      <c r="CH25" s="18" t="str">
        <f t="shared" si="56"/>
        <v/>
      </c>
      <c r="CI25" s="18" t="str">
        <f t="shared" si="56"/>
        <v/>
      </c>
      <c r="CJ25" s="18" t="str">
        <f t="shared" si="56"/>
        <v/>
      </c>
      <c r="CK25" s="18" t="str">
        <f t="shared" si="56"/>
        <v/>
      </c>
      <c r="CL25" s="18" t="str">
        <f t="shared" si="56"/>
        <v/>
      </c>
      <c r="CM25" s="18" t="str">
        <f t="shared" si="56"/>
        <v/>
      </c>
      <c r="CN25" s="18" t="str">
        <f t="shared" si="56"/>
        <v/>
      </c>
      <c r="CO25" s="18" t="str">
        <f t="shared" si="56"/>
        <v/>
      </c>
      <c r="CP25" s="18" t="str">
        <f t="shared" si="56"/>
        <v/>
      </c>
      <c r="CQ25" s="18" t="str">
        <f t="shared" si="56"/>
        <v/>
      </c>
      <c r="CR25" s="18" t="str">
        <f t="shared" si="56"/>
        <v/>
      </c>
      <c r="CS25" s="18" t="str">
        <f t="shared" si="56"/>
        <v/>
      </c>
      <c r="CT25" s="18" t="str">
        <f t="shared" si="56"/>
        <v/>
      </c>
      <c r="CU25" s="18" t="str">
        <f t="shared" si="56"/>
        <v/>
      </c>
      <c r="CV25" s="18" t="str">
        <f t="shared" si="56"/>
        <v/>
      </c>
      <c r="CW25" s="18" t="str">
        <f t="shared" si="56"/>
        <v/>
      </c>
      <c r="CX25" s="18" t="str">
        <f t="shared" si="56"/>
        <v/>
      </c>
      <c r="CY25" s="18" t="str">
        <f t="shared" si="56"/>
        <v/>
      </c>
      <c r="CZ25" s="18" t="str">
        <f t="shared" si="56"/>
        <v/>
      </c>
    </row>
    <row r="26" spans="1:104" ht="15" customHeight="1" x14ac:dyDescent="0.3">
      <c r="A26" s="3"/>
      <c r="B26" s="2"/>
      <c r="C26" s="3"/>
      <c r="D26" s="3"/>
      <c r="E26" s="3"/>
      <c r="F26" s="19"/>
      <c r="J26" s="20"/>
      <c r="K26" s="20"/>
      <c r="L26" s="21">
        <v>45936</v>
      </c>
      <c r="M26" s="21">
        <v>45942</v>
      </c>
      <c r="N26" s="18" t="str">
        <f t="shared" ref="N26:AS26" si="57">IF(AND($L26&lt;=N$4,$M26&gt;=N$4),"y","")</f>
        <v/>
      </c>
      <c r="O26" s="18" t="str">
        <f t="shared" si="57"/>
        <v/>
      </c>
      <c r="P26" s="18" t="str">
        <f t="shared" si="57"/>
        <v/>
      </c>
      <c r="Q26" s="18" t="str">
        <f t="shared" si="57"/>
        <v/>
      </c>
      <c r="R26" s="18" t="str">
        <f t="shared" si="57"/>
        <v/>
      </c>
      <c r="S26" s="18" t="str">
        <f t="shared" si="57"/>
        <v/>
      </c>
      <c r="T26" s="18" t="str">
        <f t="shared" si="57"/>
        <v/>
      </c>
      <c r="U26" s="18" t="str">
        <f t="shared" si="57"/>
        <v/>
      </c>
      <c r="V26" s="18" t="str">
        <f t="shared" si="57"/>
        <v/>
      </c>
      <c r="W26" s="18" t="str">
        <f t="shared" si="57"/>
        <v/>
      </c>
      <c r="X26" s="18" t="str">
        <f t="shared" si="57"/>
        <v/>
      </c>
      <c r="Y26" s="18" t="str">
        <f t="shared" si="57"/>
        <v/>
      </c>
      <c r="Z26" s="18" t="str">
        <f t="shared" si="57"/>
        <v/>
      </c>
      <c r="AA26" s="18" t="str">
        <f t="shared" si="57"/>
        <v/>
      </c>
      <c r="AB26" s="18" t="str">
        <f t="shared" si="57"/>
        <v/>
      </c>
      <c r="AC26" s="18" t="str">
        <f t="shared" si="57"/>
        <v/>
      </c>
      <c r="AD26" s="18" t="str">
        <f t="shared" si="57"/>
        <v/>
      </c>
      <c r="AE26" s="18" t="str">
        <f t="shared" si="57"/>
        <v/>
      </c>
      <c r="AF26" s="18" t="str">
        <f t="shared" si="57"/>
        <v/>
      </c>
      <c r="AG26" s="18" t="str">
        <f t="shared" si="57"/>
        <v/>
      </c>
      <c r="AH26" s="18" t="str">
        <f t="shared" si="57"/>
        <v/>
      </c>
      <c r="AI26" s="18" t="str">
        <f t="shared" si="57"/>
        <v/>
      </c>
      <c r="AJ26" s="18" t="str">
        <f t="shared" si="57"/>
        <v/>
      </c>
      <c r="AK26" s="18" t="str">
        <f t="shared" si="57"/>
        <v/>
      </c>
      <c r="AL26" s="18" t="str">
        <f t="shared" si="57"/>
        <v/>
      </c>
      <c r="AM26" s="18" t="str">
        <f t="shared" si="57"/>
        <v/>
      </c>
      <c r="AN26" s="18" t="str">
        <f t="shared" si="57"/>
        <v/>
      </c>
      <c r="AO26" s="18" t="str">
        <f t="shared" si="57"/>
        <v/>
      </c>
      <c r="AP26" s="18" t="str">
        <f t="shared" si="57"/>
        <v>y</v>
      </c>
      <c r="AQ26" s="18" t="str">
        <f t="shared" si="57"/>
        <v>y</v>
      </c>
      <c r="AR26" s="18" t="str">
        <f t="shared" si="57"/>
        <v>y</v>
      </c>
      <c r="AS26" s="18" t="str">
        <f t="shared" si="57"/>
        <v>y</v>
      </c>
      <c r="AT26" s="18" t="str">
        <f t="shared" ref="AT26:BY26" si="58">IF(AND($L26&lt;=AT$4,$M26&gt;=AT$4),"y","")</f>
        <v>y</v>
      </c>
      <c r="AU26" s="18" t="str">
        <f t="shared" si="58"/>
        <v>y</v>
      </c>
      <c r="AV26" s="18" t="str">
        <f t="shared" si="58"/>
        <v>y</v>
      </c>
      <c r="AW26" s="18" t="str">
        <f t="shared" si="58"/>
        <v/>
      </c>
      <c r="AX26" s="18" t="str">
        <f t="shared" si="58"/>
        <v/>
      </c>
      <c r="AY26" s="18" t="str">
        <f t="shared" si="58"/>
        <v/>
      </c>
      <c r="AZ26" s="18" t="str">
        <f t="shared" si="58"/>
        <v/>
      </c>
      <c r="BA26" s="18" t="str">
        <f t="shared" si="58"/>
        <v/>
      </c>
      <c r="BB26" s="18" t="str">
        <f t="shared" si="58"/>
        <v/>
      </c>
      <c r="BC26" s="18" t="str">
        <f t="shared" si="58"/>
        <v/>
      </c>
      <c r="BD26" s="18" t="str">
        <f t="shared" si="58"/>
        <v/>
      </c>
      <c r="BE26" s="18" t="str">
        <f t="shared" si="58"/>
        <v/>
      </c>
      <c r="BF26" s="18" t="str">
        <f t="shared" si="58"/>
        <v/>
      </c>
      <c r="BG26" s="18" t="str">
        <f t="shared" si="58"/>
        <v/>
      </c>
      <c r="BH26" s="18" t="str">
        <f t="shared" si="58"/>
        <v/>
      </c>
      <c r="BI26" s="18" t="str">
        <f t="shared" si="58"/>
        <v/>
      </c>
      <c r="BJ26" s="18" t="str">
        <f t="shared" si="58"/>
        <v/>
      </c>
      <c r="BK26" s="18" t="str">
        <f t="shared" si="58"/>
        <v/>
      </c>
      <c r="BL26" s="18" t="str">
        <f t="shared" si="58"/>
        <v/>
      </c>
      <c r="BM26" s="18" t="str">
        <f t="shared" si="58"/>
        <v/>
      </c>
      <c r="BN26" s="18" t="str">
        <f t="shared" si="58"/>
        <v/>
      </c>
      <c r="BO26" s="18" t="str">
        <f t="shared" si="58"/>
        <v/>
      </c>
      <c r="BP26" s="18" t="str">
        <f t="shared" si="58"/>
        <v/>
      </c>
      <c r="BQ26" s="18" t="str">
        <f t="shared" si="58"/>
        <v/>
      </c>
      <c r="BR26" s="18" t="str">
        <f t="shared" si="58"/>
        <v/>
      </c>
      <c r="BS26" s="18" t="str">
        <f t="shared" si="58"/>
        <v/>
      </c>
      <c r="BT26" s="18" t="str">
        <f t="shared" si="58"/>
        <v/>
      </c>
      <c r="BU26" s="18" t="str">
        <f t="shared" si="58"/>
        <v/>
      </c>
      <c r="BV26" s="18" t="str">
        <f t="shared" si="58"/>
        <v/>
      </c>
      <c r="BW26" s="18" t="str">
        <f t="shared" si="58"/>
        <v/>
      </c>
      <c r="BX26" s="18" t="str">
        <f t="shared" si="58"/>
        <v/>
      </c>
      <c r="BY26" s="18" t="str">
        <f t="shared" si="58"/>
        <v/>
      </c>
      <c r="BZ26" s="18" t="str">
        <f t="shared" ref="BZ26:CZ26" si="59">IF(AND($L26&lt;=BZ$4,$M26&gt;=BZ$4),"y","")</f>
        <v/>
      </c>
      <c r="CA26" s="18" t="str">
        <f t="shared" si="59"/>
        <v/>
      </c>
      <c r="CB26" s="18" t="str">
        <f t="shared" si="59"/>
        <v/>
      </c>
      <c r="CC26" s="18" t="str">
        <f t="shared" si="59"/>
        <v/>
      </c>
      <c r="CD26" s="18" t="str">
        <f t="shared" si="59"/>
        <v/>
      </c>
      <c r="CE26" s="18" t="str">
        <f t="shared" si="59"/>
        <v/>
      </c>
      <c r="CF26" s="18" t="str">
        <f t="shared" si="59"/>
        <v/>
      </c>
      <c r="CG26" s="18" t="str">
        <f t="shared" si="59"/>
        <v/>
      </c>
      <c r="CH26" s="18" t="str">
        <f t="shared" si="59"/>
        <v/>
      </c>
      <c r="CI26" s="18" t="str">
        <f t="shared" si="59"/>
        <v/>
      </c>
      <c r="CJ26" s="18" t="str">
        <f t="shared" si="59"/>
        <v/>
      </c>
      <c r="CK26" s="18" t="str">
        <f t="shared" si="59"/>
        <v/>
      </c>
      <c r="CL26" s="18" t="str">
        <f t="shared" si="59"/>
        <v/>
      </c>
      <c r="CM26" s="18" t="str">
        <f t="shared" si="59"/>
        <v/>
      </c>
      <c r="CN26" s="18" t="str">
        <f t="shared" si="59"/>
        <v/>
      </c>
      <c r="CO26" s="18" t="str">
        <f t="shared" si="59"/>
        <v/>
      </c>
      <c r="CP26" s="18" t="str">
        <f t="shared" si="59"/>
        <v/>
      </c>
      <c r="CQ26" s="18" t="str">
        <f t="shared" si="59"/>
        <v/>
      </c>
      <c r="CR26" s="18" t="str">
        <f t="shared" si="59"/>
        <v/>
      </c>
      <c r="CS26" s="18" t="str">
        <f t="shared" si="59"/>
        <v/>
      </c>
      <c r="CT26" s="18" t="str">
        <f t="shared" si="59"/>
        <v/>
      </c>
      <c r="CU26" s="18" t="str">
        <f t="shared" si="59"/>
        <v/>
      </c>
      <c r="CV26" s="18" t="str">
        <f t="shared" si="59"/>
        <v/>
      </c>
      <c r="CW26" s="18" t="str">
        <f t="shared" si="59"/>
        <v/>
      </c>
      <c r="CX26" s="18" t="str">
        <f t="shared" si="59"/>
        <v/>
      </c>
      <c r="CY26" s="18" t="str">
        <f t="shared" si="59"/>
        <v/>
      </c>
      <c r="CZ26" s="18" t="str">
        <f t="shared" si="59"/>
        <v/>
      </c>
    </row>
    <row r="27" spans="1:104" ht="15" customHeight="1" x14ac:dyDescent="0.3">
      <c r="A27" s="3" t="s">
        <v>63</v>
      </c>
      <c r="B27" s="2" t="s">
        <v>57</v>
      </c>
      <c r="C27" s="3" t="s">
        <v>58</v>
      </c>
      <c r="D27" s="1" t="s">
        <v>64</v>
      </c>
      <c r="E27" s="1" t="s">
        <v>65</v>
      </c>
      <c r="F27" s="16" t="s">
        <v>66</v>
      </c>
      <c r="G27" s="15" t="s">
        <v>62</v>
      </c>
      <c r="H27" s="15" t="s">
        <v>67</v>
      </c>
      <c r="I27" s="15">
        <f>K27-J27+1</f>
        <v>14</v>
      </c>
      <c r="J27" s="17">
        <v>45936</v>
      </c>
      <c r="K27" s="17">
        <v>45949</v>
      </c>
      <c r="N27" s="18" t="str">
        <f t="shared" ref="N27:AS27" si="60">IF($D27="","",IF(AND($J27&lt;=N$4,$K27&gt;=N$4),"x",""))</f>
        <v/>
      </c>
      <c r="O27" s="18" t="str">
        <f t="shared" si="60"/>
        <v/>
      </c>
      <c r="P27" s="18" t="str">
        <f t="shared" si="60"/>
        <v/>
      </c>
      <c r="Q27" s="18" t="str">
        <f t="shared" si="60"/>
        <v/>
      </c>
      <c r="R27" s="18" t="str">
        <f t="shared" si="60"/>
        <v/>
      </c>
      <c r="S27" s="18" t="str">
        <f t="shared" si="60"/>
        <v/>
      </c>
      <c r="T27" s="18" t="str">
        <f t="shared" si="60"/>
        <v/>
      </c>
      <c r="U27" s="18" t="str">
        <f t="shared" si="60"/>
        <v/>
      </c>
      <c r="V27" s="18" t="str">
        <f t="shared" si="60"/>
        <v/>
      </c>
      <c r="W27" s="18" t="str">
        <f t="shared" si="60"/>
        <v/>
      </c>
      <c r="X27" s="18" t="str">
        <f t="shared" si="60"/>
        <v/>
      </c>
      <c r="Y27" s="18" t="str">
        <f t="shared" si="60"/>
        <v/>
      </c>
      <c r="Z27" s="18" t="str">
        <f t="shared" si="60"/>
        <v/>
      </c>
      <c r="AA27" s="18" t="str">
        <f t="shared" si="60"/>
        <v/>
      </c>
      <c r="AB27" s="18" t="str">
        <f t="shared" si="60"/>
        <v/>
      </c>
      <c r="AC27" s="18" t="str">
        <f t="shared" si="60"/>
        <v/>
      </c>
      <c r="AD27" s="18" t="str">
        <f t="shared" si="60"/>
        <v/>
      </c>
      <c r="AE27" s="18" t="str">
        <f t="shared" si="60"/>
        <v/>
      </c>
      <c r="AF27" s="18" t="str">
        <f t="shared" si="60"/>
        <v/>
      </c>
      <c r="AG27" s="18" t="str">
        <f t="shared" si="60"/>
        <v/>
      </c>
      <c r="AH27" s="18" t="str">
        <f t="shared" si="60"/>
        <v/>
      </c>
      <c r="AI27" s="18" t="str">
        <f t="shared" si="60"/>
        <v/>
      </c>
      <c r="AJ27" s="18" t="str">
        <f t="shared" si="60"/>
        <v/>
      </c>
      <c r="AK27" s="18" t="str">
        <f t="shared" si="60"/>
        <v/>
      </c>
      <c r="AL27" s="18" t="str">
        <f t="shared" si="60"/>
        <v/>
      </c>
      <c r="AM27" s="18" t="str">
        <f t="shared" si="60"/>
        <v/>
      </c>
      <c r="AN27" s="18" t="str">
        <f t="shared" si="60"/>
        <v/>
      </c>
      <c r="AO27" s="18" t="str">
        <f t="shared" si="60"/>
        <v/>
      </c>
      <c r="AP27" s="18" t="str">
        <f t="shared" si="60"/>
        <v>x</v>
      </c>
      <c r="AQ27" s="18" t="str">
        <f t="shared" si="60"/>
        <v>x</v>
      </c>
      <c r="AR27" s="18" t="str">
        <f t="shared" si="60"/>
        <v>x</v>
      </c>
      <c r="AS27" s="18" t="str">
        <f t="shared" si="60"/>
        <v>x</v>
      </c>
      <c r="AT27" s="18" t="str">
        <f t="shared" ref="AT27:BY27" si="61">IF($D27="","",IF(AND($J27&lt;=AT$4,$K27&gt;=AT$4),"x",""))</f>
        <v>x</v>
      </c>
      <c r="AU27" s="18" t="str">
        <f t="shared" si="61"/>
        <v>x</v>
      </c>
      <c r="AV27" s="18" t="str">
        <f t="shared" si="61"/>
        <v>x</v>
      </c>
      <c r="AW27" s="18" t="str">
        <f t="shared" si="61"/>
        <v>x</v>
      </c>
      <c r="AX27" s="18" t="str">
        <f t="shared" si="61"/>
        <v>x</v>
      </c>
      <c r="AY27" s="18" t="str">
        <f t="shared" si="61"/>
        <v>x</v>
      </c>
      <c r="AZ27" s="18" t="str">
        <f t="shared" si="61"/>
        <v>x</v>
      </c>
      <c r="BA27" s="18" t="str">
        <f t="shared" si="61"/>
        <v>x</v>
      </c>
      <c r="BB27" s="18" t="str">
        <f t="shared" si="61"/>
        <v>x</v>
      </c>
      <c r="BC27" s="18" t="str">
        <f t="shared" si="61"/>
        <v>x</v>
      </c>
      <c r="BD27" s="18" t="str">
        <f t="shared" si="61"/>
        <v/>
      </c>
      <c r="BE27" s="18" t="str">
        <f t="shared" si="61"/>
        <v/>
      </c>
      <c r="BF27" s="18" t="str">
        <f t="shared" si="61"/>
        <v/>
      </c>
      <c r="BG27" s="18" t="str">
        <f t="shared" si="61"/>
        <v/>
      </c>
      <c r="BH27" s="18" t="str">
        <f t="shared" si="61"/>
        <v/>
      </c>
      <c r="BI27" s="18" t="str">
        <f t="shared" si="61"/>
        <v/>
      </c>
      <c r="BJ27" s="18" t="str">
        <f t="shared" si="61"/>
        <v/>
      </c>
      <c r="BK27" s="18" t="str">
        <f t="shared" si="61"/>
        <v/>
      </c>
      <c r="BL27" s="18" t="str">
        <f t="shared" si="61"/>
        <v/>
      </c>
      <c r="BM27" s="18" t="str">
        <f t="shared" si="61"/>
        <v/>
      </c>
      <c r="BN27" s="18" t="str">
        <f t="shared" si="61"/>
        <v/>
      </c>
      <c r="BO27" s="18" t="str">
        <f t="shared" si="61"/>
        <v/>
      </c>
      <c r="BP27" s="18" t="str">
        <f t="shared" si="61"/>
        <v/>
      </c>
      <c r="BQ27" s="18" t="str">
        <f t="shared" si="61"/>
        <v/>
      </c>
      <c r="BR27" s="18" t="str">
        <f t="shared" si="61"/>
        <v/>
      </c>
      <c r="BS27" s="18" t="str">
        <f t="shared" si="61"/>
        <v/>
      </c>
      <c r="BT27" s="18" t="str">
        <f t="shared" si="61"/>
        <v/>
      </c>
      <c r="BU27" s="18" t="str">
        <f t="shared" si="61"/>
        <v/>
      </c>
      <c r="BV27" s="18" t="str">
        <f t="shared" si="61"/>
        <v/>
      </c>
      <c r="BW27" s="18" t="str">
        <f t="shared" si="61"/>
        <v/>
      </c>
      <c r="BX27" s="18" t="str">
        <f t="shared" si="61"/>
        <v/>
      </c>
      <c r="BY27" s="18" t="str">
        <f t="shared" si="61"/>
        <v/>
      </c>
      <c r="BZ27" s="18" t="str">
        <f t="shared" ref="BZ27:CZ27" si="62">IF($D27="","",IF(AND($J27&lt;=BZ$4,$K27&gt;=BZ$4),"x",""))</f>
        <v/>
      </c>
      <c r="CA27" s="18" t="str">
        <f t="shared" si="62"/>
        <v/>
      </c>
      <c r="CB27" s="18" t="str">
        <f t="shared" si="62"/>
        <v/>
      </c>
      <c r="CC27" s="18" t="str">
        <f t="shared" si="62"/>
        <v/>
      </c>
      <c r="CD27" s="18" t="str">
        <f t="shared" si="62"/>
        <v/>
      </c>
      <c r="CE27" s="18" t="str">
        <f t="shared" si="62"/>
        <v/>
      </c>
      <c r="CF27" s="18" t="str">
        <f t="shared" si="62"/>
        <v/>
      </c>
      <c r="CG27" s="18" t="str">
        <f t="shared" si="62"/>
        <v/>
      </c>
      <c r="CH27" s="18" t="str">
        <f t="shared" si="62"/>
        <v/>
      </c>
      <c r="CI27" s="18" t="str">
        <f t="shared" si="62"/>
        <v/>
      </c>
      <c r="CJ27" s="18" t="str">
        <f t="shared" si="62"/>
        <v/>
      </c>
      <c r="CK27" s="18" t="str">
        <f t="shared" si="62"/>
        <v/>
      </c>
      <c r="CL27" s="18" t="str">
        <f t="shared" si="62"/>
        <v/>
      </c>
      <c r="CM27" s="18" t="str">
        <f t="shared" si="62"/>
        <v/>
      </c>
      <c r="CN27" s="18" t="str">
        <f t="shared" si="62"/>
        <v/>
      </c>
      <c r="CO27" s="18" t="str">
        <f t="shared" si="62"/>
        <v/>
      </c>
      <c r="CP27" s="18" t="str">
        <f t="shared" si="62"/>
        <v/>
      </c>
      <c r="CQ27" s="18" t="str">
        <f t="shared" si="62"/>
        <v/>
      </c>
      <c r="CR27" s="18" t="str">
        <f t="shared" si="62"/>
        <v/>
      </c>
      <c r="CS27" s="18" t="str">
        <f t="shared" si="62"/>
        <v/>
      </c>
      <c r="CT27" s="18" t="str">
        <f t="shared" si="62"/>
        <v/>
      </c>
      <c r="CU27" s="18" t="str">
        <f t="shared" si="62"/>
        <v/>
      </c>
      <c r="CV27" s="18" t="str">
        <f t="shared" si="62"/>
        <v/>
      </c>
      <c r="CW27" s="18" t="str">
        <f t="shared" si="62"/>
        <v/>
      </c>
      <c r="CX27" s="18" t="str">
        <f t="shared" si="62"/>
        <v/>
      </c>
      <c r="CY27" s="18" t="str">
        <f t="shared" si="62"/>
        <v/>
      </c>
      <c r="CZ27" s="18" t="str">
        <f t="shared" si="62"/>
        <v/>
      </c>
    </row>
    <row r="28" spans="1:104" ht="15" customHeight="1" x14ac:dyDescent="0.3">
      <c r="A28" s="3"/>
      <c r="B28" s="2"/>
      <c r="C28" s="3"/>
      <c r="D28" s="3"/>
      <c r="E28" s="3"/>
      <c r="F28" s="19"/>
      <c r="J28" s="20"/>
      <c r="K28" s="20"/>
      <c r="L28" s="21">
        <v>45936</v>
      </c>
      <c r="M28" s="21">
        <v>45949</v>
      </c>
      <c r="N28" s="18" t="str">
        <f t="shared" ref="N28:AS28" si="63">IF(AND($L28&lt;=N$4,$M28&gt;=N$4),"y","")</f>
        <v/>
      </c>
      <c r="O28" s="18" t="str">
        <f t="shared" si="63"/>
        <v/>
      </c>
      <c r="P28" s="18" t="str">
        <f t="shared" si="63"/>
        <v/>
      </c>
      <c r="Q28" s="18" t="str">
        <f t="shared" si="63"/>
        <v/>
      </c>
      <c r="R28" s="18" t="str">
        <f t="shared" si="63"/>
        <v/>
      </c>
      <c r="S28" s="18" t="str">
        <f t="shared" si="63"/>
        <v/>
      </c>
      <c r="T28" s="18" t="str">
        <f t="shared" si="63"/>
        <v/>
      </c>
      <c r="U28" s="18" t="str">
        <f t="shared" si="63"/>
        <v/>
      </c>
      <c r="V28" s="18" t="str">
        <f t="shared" si="63"/>
        <v/>
      </c>
      <c r="W28" s="18" t="str">
        <f t="shared" si="63"/>
        <v/>
      </c>
      <c r="X28" s="18" t="str">
        <f t="shared" si="63"/>
        <v/>
      </c>
      <c r="Y28" s="18" t="str">
        <f t="shared" si="63"/>
        <v/>
      </c>
      <c r="Z28" s="18" t="str">
        <f t="shared" si="63"/>
        <v/>
      </c>
      <c r="AA28" s="18" t="str">
        <f t="shared" si="63"/>
        <v/>
      </c>
      <c r="AB28" s="18" t="str">
        <f t="shared" si="63"/>
        <v/>
      </c>
      <c r="AC28" s="18" t="str">
        <f t="shared" si="63"/>
        <v/>
      </c>
      <c r="AD28" s="18" t="str">
        <f t="shared" si="63"/>
        <v/>
      </c>
      <c r="AE28" s="18" t="str">
        <f t="shared" si="63"/>
        <v/>
      </c>
      <c r="AF28" s="18" t="str">
        <f t="shared" si="63"/>
        <v/>
      </c>
      <c r="AG28" s="18" t="str">
        <f t="shared" si="63"/>
        <v/>
      </c>
      <c r="AH28" s="18" t="str">
        <f t="shared" si="63"/>
        <v/>
      </c>
      <c r="AI28" s="18" t="str">
        <f t="shared" si="63"/>
        <v/>
      </c>
      <c r="AJ28" s="18" t="str">
        <f t="shared" si="63"/>
        <v/>
      </c>
      <c r="AK28" s="18" t="str">
        <f t="shared" si="63"/>
        <v/>
      </c>
      <c r="AL28" s="18" t="str">
        <f t="shared" si="63"/>
        <v/>
      </c>
      <c r="AM28" s="18" t="str">
        <f t="shared" si="63"/>
        <v/>
      </c>
      <c r="AN28" s="18" t="str">
        <f t="shared" si="63"/>
        <v/>
      </c>
      <c r="AO28" s="18" t="str">
        <f t="shared" si="63"/>
        <v/>
      </c>
      <c r="AP28" s="18" t="str">
        <f t="shared" si="63"/>
        <v>y</v>
      </c>
      <c r="AQ28" s="18" t="str">
        <f t="shared" si="63"/>
        <v>y</v>
      </c>
      <c r="AR28" s="18" t="str">
        <f t="shared" si="63"/>
        <v>y</v>
      </c>
      <c r="AS28" s="18" t="str">
        <f t="shared" si="63"/>
        <v>y</v>
      </c>
      <c r="AT28" s="18" t="str">
        <f t="shared" ref="AT28:BY28" si="64">IF(AND($L28&lt;=AT$4,$M28&gt;=AT$4),"y","")</f>
        <v>y</v>
      </c>
      <c r="AU28" s="18" t="str">
        <f t="shared" si="64"/>
        <v>y</v>
      </c>
      <c r="AV28" s="18" t="str">
        <f t="shared" si="64"/>
        <v>y</v>
      </c>
      <c r="AW28" s="18" t="str">
        <f t="shared" si="64"/>
        <v>y</v>
      </c>
      <c r="AX28" s="18" t="str">
        <f t="shared" si="64"/>
        <v>y</v>
      </c>
      <c r="AY28" s="18" t="str">
        <f t="shared" si="64"/>
        <v>y</v>
      </c>
      <c r="AZ28" s="18" t="str">
        <f t="shared" si="64"/>
        <v>y</v>
      </c>
      <c r="BA28" s="18" t="str">
        <f t="shared" si="64"/>
        <v>y</v>
      </c>
      <c r="BB28" s="18" t="str">
        <f t="shared" si="64"/>
        <v>y</v>
      </c>
      <c r="BC28" s="18" t="str">
        <f t="shared" si="64"/>
        <v>y</v>
      </c>
      <c r="BD28" s="18" t="str">
        <f t="shared" si="64"/>
        <v/>
      </c>
      <c r="BE28" s="18" t="str">
        <f t="shared" si="64"/>
        <v/>
      </c>
      <c r="BF28" s="18" t="str">
        <f t="shared" si="64"/>
        <v/>
      </c>
      <c r="BG28" s="18" t="str">
        <f t="shared" si="64"/>
        <v/>
      </c>
      <c r="BH28" s="18" t="str">
        <f t="shared" si="64"/>
        <v/>
      </c>
      <c r="BI28" s="18" t="str">
        <f t="shared" si="64"/>
        <v/>
      </c>
      <c r="BJ28" s="18" t="str">
        <f t="shared" si="64"/>
        <v/>
      </c>
      <c r="BK28" s="18" t="str">
        <f t="shared" si="64"/>
        <v/>
      </c>
      <c r="BL28" s="18" t="str">
        <f t="shared" si="64"/>
        <v/>
      </c>
      <c r="BM28" s="18" t="str">
        <f t="shared" si="64"/>
        <v/>
      </c>
      <c r="BN28" s="18" t="str">
        <f t="shared" si="64"/>
        <v/>
      </c>
      <c r="BO28" s="18" t="str">
        <f t="shared" si="64"/>
        <v/>
      </c>
      <c r="BP28" s="18" t="str">
        <f t="shared" si="64"/>
        <v/>
      </c>
      <c r="BQ28" s="18" t="str">
        <f t="shared" si="64"/>
        <v/>
      </c>
      <c r="BR28" s="18" t="str">
        <f t="shared" si="64"/>
        <v/>
      </c>
      <c r="BS28" s="18" t="str">
        <f t="shared" si="64"/>
        <v/>
      </c>
      <c r="BT28" s="18" t="str">
        <f t="shared" si="64"/>
        <v/>
      </c>
      <c r="BU28" s="18" t="str">
        <f t="shared" si="64"/>
        <v/>
      </c>
      <c r="BV28" s="18" t="str">
        <f t="shared" si="64"/>
        <v/>
      </c>
      <c r="BW28" s="18" t="str">
        <f t="shared" si="64"/>
        <v/>
      </c>
      <c r="BX28" s="18" t="str">
        <f t="shared" si="64"/>
        <v/>
      </c>
      <c r="BY28" s="18" t="str">
        <f t="shared" si="64"/>
        <v/>
      </c>
      <c r="BZ28" s="18" t="str">
        <f t="shared" ref="BZ28:CZ28" si="65">IF(AND($L28&lt;=BZ$4,$M28&gt;=BZ$4),"y","")</f>
        <v/>
      </c>
      <c r="CA28" s="18" t="str">
        <f t="shared" si="65"/>
        <v/>
      </c>
      <c r="CB28" s="18" t="str">
        <f t="shared" si="65"/>
        <v/>
      </c>
      <c r="CC28" s="18" t="str">
        <f t="shared" si="65"/>
        <v/>
      </c>
      <c r="CD28" s="18" t="str">
        <f t="shared" si="65"/>
        <v/>
      </c>
      <c r="CE28" s="18" t="str">
        <f t="shared" si="65"/>
        <v/>
      </c>
      <c r="CF28" s="18" t="str">
        <f t="shared" si="65"/>
        <v/>
      </c>
      <c r="CG28" s="18" t="str">
        <f t="shared" si="65"/>
        <v/>
      </c>
      <c r="CH28" s="18" t="str">
        <f t="shared" si="65"/>
        <v/>
      </c>
      <c r="CI28" s="18" t="str">
        <f t="shared" si="65"/>
        <v/>
      </c>
      <c r="CJ28" s="18" t="str">
        <f t="shared" si="65"/>
        <v/>
      </c>
      <c r="CK28" s="18" t="str">
        <f t="shared" si="65"/>
        <v/>
      </c>
      <c r="CL28" s="18" t="str">
        <f t="shared" si="65"/>
        <v/>
      </c>
      <c r="CM28" s="18" t="str">
        <f t="shared" si="65"/>
        <v/>
      </c>
      <c r="CN28" s="18" t="str">
        <f t="shared" si="65"/>
        <v/>
      </c>
      <c r="CO28" s="18" t="str">
        <f t="shared" si="65"/>
        <v/>
      </c>
      <c r="CP28" s="18" t="str">
        <f t="shared" si="65"/>
        <v/>
      </c>
      <c r="CQ28" s="18" t="str">
        <f t="shared" si="65"/>
        <v/>
      </c>
      <c r="CR28" s="18" t="str">
        <f t="shared" si="65"/>
        <v/>
      </c>
      <c r="CS28" s="18" t="str">
        <f t="shared" si="65"/>
        <v/>
      </c>
      <c r="CT28" s="18" t="str">
        <f t="shared" si="65"/>
        <v/>
      </c>
      <c r="CU28" s="18" t="str">
        <f t="shared" si="65"/>
        <v/>
      </c>
      <c r="CV28" s="18" t="str">
        <f t="shared" si="65"/>
        <v/>
      </c>
      <c r="CW28" s="18" t="str">
        <f t="shared" si="65"/>
        <v/>
      </c>
      <c r="CX28" s="18" t="str">
        <f t="shared" si="65"/>
        <v/>
      </c>
      <c r="CY28" s="18" t="str">
        <f t="shared" si="65"/>
        <v/>
      </c>
      <c r="CZ28" s="18" t="str">
        <f t="shared" si="65"/>
        <v/>
      </c>
    </row>
    <row r="29" spans="1:104" ht="15" customHeight="1" x14ac:dyDescent="0.3">
      <c r="A29" s="3" t="s">
        <v>68</v>
      </c>
      <c r="B29" s="2" t="s">
        <v>56</v>
      </c>
      <c r="C29" s="3" t="s">
        <v>58</v>
      </c>
      <c r="D29" s="1" t="s">
        <v>69</v>
      </c>
      <c r="E29" s="1" t="s">
        <v>70</v>
      </c>
      <c r="F29" s="16" t="s">
        <v>66</v>
      </c>
      <c r="G29" s="15" t="s">
        <v>67</v>
      </c>
      <c r="H29" s="15" t="s">
        <v>71</v>
      </c>
      <c r="I29" s="15">
        <f>K29-J29+1</f>
        <v>14</v>
      </c>
      <c r="J29" s="17">
        <v>45943</v>
      </c>
      <c r="K29" s="17">
        <v>45956</v>
      </c>
      <c r="N29" s="18" t="str">
        <f t="shared" ref="N29:AS29" si="66">IF($D29="","",IF(AND($J29&lt;=N$4,$K29&gt;=N$4),"x",""))</f>
        <v/>
      </c>
      <c r="O29" s="18" t="str">
        <f t="shared" si="66"/>
        <v/>
      </c>
      <c r="P29" s="18" t="str">
        <f t="shared" si="66"/>
        <v/>
      </c>
      <c r="Q29" s="18" t="str">
        <f t="shared" si="66"/>
        <v/>
      </c>
      <c r="R29" s="18" t="str">
        <f t="shared" si="66"/>
        <v/>
      </c>
      <c r="S29" s="18" t="str">
        <f t="shared" si="66"/>
        <v/>
      </c>
      <c r="T29" s="18" t="str">
        <f t="shared" si="66"/>
        <v/>
      </c>
      <c r="U29" s="18" t="str">
        <f t="shared" si="66"/>
        <v/>
      </c>
      <c r="V29" s="18" t="str">
        <f t="shared" si="66"/>
        <v/>
      </c>
      <c r="W29" s="18" t="str">
        <f t="shared" si="66"/>
        <v/>
      </c>
      <c r="X29" s="18" t="str">
        <f t="shared" si="66"/>
        <v/>
      </c>
      <c r="Y29" s="18" t="str">
        <f t="shared" si="66"/>
        <v/>
      </c>
      <c r="Z29" s="18" t="str">
        <f t="shared" si="66"/>
        <v/>
      </c>
      <c r="AA29" s="18" t="str">
        <f t="shared" si="66"/>
        <v/>
      </c>
      <c r="AB29" s="18" t="str">
        <f t="shared" si="66"/>
        <v/>
      </c>
      <c r="AC29" s="18" t="str">
        <f t="shared" si="66"/>
        <v/>
      </c>
      <c r="AD29" s="18" t="str">
        <f t="shared" si="66"/>
        <v/>
      </c>
      <c r="AE29" s="18" t="str">
        <f t="shared" si="66"/>
        <v/>
      </c>
      <c r="AF29" s="18" t="str">
        <f t="shared" si="66"/>
        <v/>
      </c>
      <c r="AG29" s="18" t="str">
        <f t="shared" si="66"/>
        <v/>
      </c>
      <c r="AH29" s="18" t="str">
        <f t="shared" si="66"/>
        <v/>
      </c>
      <c r="AI29" s="18" t="str">
        <f t="shared" si="66"/>
        <v/>
      </c>
      <c r="AJ29" s="18" t="str">
        <f t="shared" si="66"/>
        <v/>
      </c>
      <c r="AK29" s="18" t="str">
        <f t="shared" si="66"/>
        <v/>
      </c>
      <c r="AL29" s="18" t="str">
        <f t="shared" si="66"/>
        <v/>
      </c>
      <c r="AM29" s="18" t="str">
        <f t="shared" si="66"/>
        <v/>
      </c>
      <c r="AN29" s="18" t="str">
        <f t="shared" si="66"/>
        <v/>
      </c>
      <c r="AO29" s="18" t="str">
        <f t="shared" si="66"/>
        <v/>
      </c>
      <c r="AP29" s="18" t="str">
        <f t="shared" si="66"/>
        <v/>
      </c>
      <c r="AQ29" s="18" t="str">
        <f t="shared" si="66"/>
        <v/>
      </c>
      <c r="AR29" s="18" t="str">
        <f t="shared" si="66"/>
        <v/>
      </c>
      <c r="AS29" s="18" t="str">
        <f t="shared" si="66"/>
        <v/>
      </c>
      <c r="AT29" s="18" t="str">
        <f t="shared" ref="AT29:BY29" si="67">IF($D29="","",IF(AND($J29&lt;=AT$4,$K29&gt;=AT$4),"x",""))</f>
        <v/>
      </c>
      <c r="AU29" s="18" t="str">
        <f t="shared" si="67"/>
        <v/>
      </c>
      <c r="AV29" s="18" t="str">
        <f t="shared" si="67"/>
        <v/>
      </c>
      <c r="AW29" s="18" t="str">
        <f t="shared" si="67"/>
        <v>x</v>
      </c>
      <c r="AX29" s="18" t="str">
        <f t="shared" si="67"/>
        <v>x</v>
      </c>
      <c r="AY29" s="18" t="str">
        <f t="shared" si="67"/>
        <v>x</v>
      </c>
      <c r="AZ29" s="18" t="str">
        <f t="shared" si="67"/>
        <v>x</v>
      </c>
      <c r="BA29" s="18" t="str">
        <f t="shared" si="67"/>
        <v>x</v>
      </c>
      <c r="BB29" s="18" t="str">
        <f t="shared" si="67"/>
        <v>x</v>
      </c>
      <c r="BC29" s="18" t="str">
        <f t="shared" si="67"/>
        <v>x</v>
      </c>
      <c r="BD29" s="18" t="str">
        <f t="shared" si="67"/>
        <v>x</v>
      </c>
      <c r="BE29" s="18" t="str">
        <f t="shared" si="67"/>
        <v>x</v>
      </c>
      <c r="BF29" s="18" t="str">
        <f t="shared" si="67"/>
        <v>x</v>
      </c>
      <c r="BG29" s="18" t="str">
        <f t="shared" si="67"/>
        <v>x</v>
      </c>
      <c r="BH29" s="18" t="str">
        <f t="shared" si="67"/>
        <v>x</v>
      </c>
      <c r="BI29" s="18" t="str">
        <f t="shared" si="67"/>
        <v>x</v>
      </c>
      <c r="BJ29" s="18" t="str">
        <f t="shared" si="67"/>
        <v>x</v>
      </c>
      <c r="BK29" s="18" t="str">
        <f t="shared" si="67"/>
        <v/>
      </c>
      <c r="BL29" s="18" t="str">
        <f t="shared" si="67"/>
        <v/>
      </c>
      <c r="BM29" s="18" t="str">
        <f t="shared" si="67"/>
        <v/>
      </c>
      <c r="BN29" s="18" t="str">
        <f t="shared" si="67"/>
        <v/>
      </c>
      <c r="BO29" s="18" t="str">
        <f t="shared" si="67"/>
        <v/>
      </c>
      <c r="BP29" s="18" t="str">
        <f t="shared" si="67"/>
        <v/>
      </c>
      <c r="BQ29" s="18" t="str">
        <f t="shared" si="67"/>
        <v/>
      </c>
      <c r="BR29" s="18" t="str">
        <f t="shared" si="67"/>
        <v/>
      </c>
      <c r="BS29" s="18" t="str">
        <f t="shared" si="67"/>
        <v/>
      </c>
      <c r="BT29" s="18" t="str">
        <f t="shared" si="67"/>
        <v/>
      </c>
      <c r="BU29" s="18" t="str">
        <f t="shared" si="67"/>
        <v/>
      </c>
      <c r="BV29" s="18" t="str">
        <f t="shared" si="67"/>
        <v/>
      </c>
      <c r="BW29" s="18" t="str">
        <f t="shared" si="67"/>
        <v/>
      </c>
      <c r="BX29" s="18" t="str">
        <f t="shared" si="67"/>
        <v/>
      </c>
      <c r="BY29" s="18" t="str">
        <f t="shared" si="67"/>
        <v/>
      </c>
      <c r="BZ29" s="18" t="str">
        <f t="shared" ref="BZ29:CZ29" si="68">IF($D29="","",IF(AND($J29&lt;=BZ$4,$K29&gt;=BZ$4),"x",""))</f>
        <v/>
      </c>
      <c r="CA29" s="18" t="str">
        <f t="shared" si="68"/>
        <v/>
      </c>
      <c r="CB29" s="18" t="str">
        <f t="shared" si="68"/>
        <v/>
      </c>
      <c r="CC29" s="18" t="str">
        <f t="shared" si="68"/>
        <v/>
      </c>
      <c r="CD29" s="18" t="str">
        <f t="shared" si="68"/>
        <v/>
      </c>
      <c r="CE29" s="18" t="str">
        <f t="shared" si="68"/>
        <v/>
      </c>
      <c r="CF29" s="18" t="str">
        <f t="shared" si="68"/>
        <v/>
      </c>
      <c r="CG29" s="18" t="str">
        <f t="shared" si="68"/>
        <v/>
      </c>
      <c r="CH29" s="18" t="str">
        <f t="shared" si="68"/>
        <v/>
      </c>
      <c r="CI29" s="18" t="str">
        <f t="shared" si="68"/>
        <v/>
      </c>
      <c r="CJ29" s="18" t="str">
        <f t="shared" si="68"/>
        <v/>
      </c>
      <c r="CK29" s="18" t="str">
        <f t="shared" si="68"/>
        <v/>
      </c>
      <c r="CL29" s="18" t="str">
        <f t="shared" si="68"/>
        <v/>
      </c>
      <c r="CM29" s="18" t="str">
        <f t="shared" si="68"/>
        <v/>
      </c>
      <c r="CN29" s="18" t="str">
        <f t="shared" si="68"/>
        <v/>
      </c>
      <c r="CO29" s="18" t="str">
        <f t="shared" si="68"/>
        <v/>
      </c>
      <c r="CP29" s="18" t="str">
        <f t="shared" si="68"/>
        <v/>
      </c>
      <c r="CQ29" s="18" t="str">
        <f t="shared" si="68"/>
        <v/>
      </c>
      <c r="CR29" s="18" t="str">
        <f t="shared" si="68"/>
        <v/>
      </c>
      <c r="CS29" s="18" t="str">
        <f t="shared" si="68"/>
        <v/>
      </c>
      <c r="CT29" s="18" t="str">
        <f t="shared" si="68"/>
        <v/>
      </c>
      <c r="CU29" s="18" t="str">
        <f t="shared" si="68"/>
        <v/>
      </c>
      <c r="CV29" s="18" t="str">
        <f t="shared" si="68"/>
        <v/>
      </c>
      <c r="CW29" s="18" t="str">
        <f t="shared" si="68"/>
        <v/>
      </c>
      <c r="CX29" s="18" t="str">
        <f t="shared" si="68"/>
        <v/>
      </c>
      <c r="CY29" s="18" t="str">
        <f t="shared" si="68"/>
        <v/>
      </c>
      <c r="CZ29" s="18" t="str">
        <f t="shared" si="68"/>
        <v/>
      </c>
    </row>
    <row r="30" spans="1:104" ht="15" customHeight="1" x14ac:dyDescent="0.3">
      <c r="A30" s="3"/>
      <c r="B30" s="2"/>
      <c r="C30" s="3"/>
      <c r="D30" s="3"/>
      <c r="E30" s="3"/>
      <c r="F30" s="19"/>
      <c r="J30" s="20"/>
      <c r="K30" s="20"/>
      <c r="L30" s="21">
        <v>45943</v>
      </c>
      <c r="M30" s="21">
        <v>45956</v>
      </c>
      <c r="N30" s="18" t="str">
        <f t="shared" ref="N30:AS30" si="69">IF(AND($L30&lt;=N$4,$M30&gt;=N$4),"y","")</f>
        <v/>
      </c>
      <c r="O30" s="18" t="str">
        <f t="shared" si="69"/>
        <v/>
      </c>
      <c r="P30" s="18" t="str">
        <f t="shared" si="69"/>
        <v/>
      </c>
      <c r="Q30" s="18" t="str">
        <f t="shared" si="69"/>
        <v/>
      </c>
      <c r="R30" s="18" t="str">
        <f t="shared" si="69"/>
        <v/>
      </c>
      <c r="S30" s="18" t="str">
        <f t="shared" si="69"/>
        <v/>
      </c>
      <c r="T30" s="18" t="str">
        <f t="shared" si="69"/>
        <v/>
      </c>
      <c r="U30" s="18" t="str">
        <f t="shared" si="69"/>
        <v/>
      </c>
      <c r="V30" s="18" t="str">
        <f t="shared" si="69"/>
        <v/>
      </c>
      <c r="W30" s="18" t="str">
        <f t="shared" si="69"/>
        <v/>
      </c>
      <c r="X30" s="18" t="str">
        <f t="shared" si="69"/>
        <v/>
      </c>
      <c r="Y30" s="18" t="str">
        <f t="shared" si="69"/>
        <v/>
      </c>
      <c r="Z30" s="18" t="str">
        <f t="shared" si="69"/>
        <v/>
      </c>
      <c r="AA30" s="18" t="str">
        <f t="shared" si="69"/>
        <v/>
      </c>
      <c r="AB30" s="18" t="str">
        <f t="shared" si="69"/>
        <v/>
      </c>
      <c r="AC30" s="18" t="str">
        <f t="shared" si="69"/>
        <v/>
      </c>
      <c r="AD30" s="18" t="str">
        <f t="shared" si="69"/>
        <v/>
      </c>
      <c r="AE30" s="18" t="str">
        <f t="shared" si="69"/>
        <v/>
      </c>
      <c r="AF30" s="18" t="str">
        <f t="shared" si="69"/>
        <v/>
      </c>
      <c r="AG30" s="18" t="str">
        <f t="shared" si="69"/>
        <v/>
      </c>
      <c r="AH30" s="18" t="str">
        <f t="shared" si="69"/>
        <v/>
      </c>
      <c r="AI30" s="18" t="str">
        <f t="shared" si="69"/>
        <v/>
      </c>
      <c r="AJ30" s="18" t="str">
        <f t="shared" si="69"/>
        <v/>
      </c>
      <c r="AK30" s="18" t="str">
        <f t="shared" si="69"/>
        <v/>
      </c>
      <c r="AL30" s="18" t="str">
        <f t="shared" si="69"/>
        <v/>
      </c>
      <c r="AM30" s="18" t="str">
        <f t="shared" si="69"/>
        <v/>
      </c>
      <c r="AN30" s="18" t="str">
        <f t="shared" si="69"/>
        <v/>
      </c>
      <c r="AO30" s="18" t="str">
        <f t="shared" si="69"/>
        <v/>
      </c>
      <c r="AP30" s="18" t="str">
        <f t="shared" si="69"/>
        <v/>
      </c>
      <c r="AQ30" s="18" t="str">
        <f t="shared" si="69"/>
        <v/>
      </c>
      <c r="AR30" s="18" t="str">
        <f t="shared" si="69"/>
        <v/>
      </c>
      <c r="AS30" s="18" t="str">
        <f t="shared" si="69"/>
        <v/>
      </c>
      <c r="AT30" s="18" t="str">
        <f t="shared" ref="AT30:BY30" si="70">IF(AND($L30&lt;=AT$4,$M30&gt;=AT$4),"y","")</f>
        <v/>
      </c>
      <c r="AU30" s="18" t="str">
        <f t="shared" si="70"/>
        <v/>
      </c>
      <c r="AV30" s="18" t="str">
        <f t="shared" si="70"/>
        <v/>
      </c>
      <c r="AW30" s="18" t="str">
        <f t="shared" si="70"/>
        <v>y</v>
      </c>
      <c r="AX30" s="18" t="str">
        <f t="shared" si="70"/>
        <v>y</v>
      </c>
      <c r="AY30" s="18" t="str">
        <f t="shared" si="70"/>
        <v>y</v>
      </c>
      <c r="AZ30" s="18" t="str">
        <f t="shared" si="70"/>
        <v>y</v>
      </c>
      <c r="BA30" s="18" t="str">
        <f t="shared" si="70"/>
        <v>y</v>
      </c>
      <c r="BB30" s="18" t="str">
        <f t="shared" si="70"/>
        <v>y</v>
      </c>
      <c r="BC30" s="18" t="str">
        <f t="shared" si="70"/>
        <v>y</v>
      </c>
      <c r="BD30" s="18" t="str">
        <f t="shared" si="70"/>
        <v>y</v>
      </c>
      <c r="BE30" s="18" t="str">
        <f t="shared" si="70"/>
        <v>y</v>
      </c>
      <c r="BF30" s="18" t="str">
        <f t="shared" si="70"/>
        <v>y</v>
      </c>
      <c r="BG30" s="18" t="str">
        <f t="shared" si="70"/>
        <v>y</v>
      </c>
      <c r="BH30" s="18" t="str">
        <f t="shared" si="70"/>
        <v>y</v>
      </c>
      <c r="BI30" s="18" t="str">
        <f t="shared" si="70"/>
        <v>y</v>
      </c>
      <c r="BJ30" s="18" t="str">
        <f t="shared" si="70"/>
        <v>y</v>
      </c>
      <c r="BK30" s="18" t="str">
        <f t="shared" si="70"/>
        <v/>
      </c>
      <c r="BL30" s="18" t="str">
        <f t="shared" si="70"/>
        <v/>
      </c>
      <c r="BM30" s="18" t="str">
        <f t="shared" si="70"/>
        <v/>
      </c>
      <c r="BN30" s="18" t="str">
        <f t="shared" si="70"/>
        <v/>
      </c>
      <c r="BO30" s="18" t="str">
        <f t="shared" si="70"/>
        <v/>
      </c>
      <c r="BP30" s="18" t="str">
        <f t="shared" si="70"/>
        <v/>
      </c>
      <c r="BQ30" s="18" t="str">
        <f t="shared" si="70"/>
        <v/>
      </c>
      <c r="BR30" s="18" t="str">
        <f t="shared" si="70"/>
        <v/>
      </c>
      <c r="BS30" s="18" t="str">
        <f t="shared" si="70"/>
        <v/>
      </c>
      <c r="BT30" s="18" t="str">
        <f t="shared" si="70"/>
        <v/>
      </c>
      <c r="BU30" s="18" t="str">
        <f t="shared" si="70"/>
        <v/>
      </c>
      <c r="BV30" s="18" t="str">
        <f t="shared" si="70"/>
        <v/>
      </c>
      <c r="BW30" s="18" t="str">
        <f t="shared" si="70"/>
        <v/>
      </c>
      <c r="BX30" s="18" t="str">
        <f t="shared" si="70"/>
        <v/>
      </c>
      <c r="BY30" s="18" t="str">
        <f t="shared" si="70"/>
        <v/>
      </c>
      <c r="BZ30" s="18" t="str">
        <f t="shared" ref="BZ30:CZ30" si="71">IF(AND($L30&lt;=BZ$4,$M30&gt;=BZ$4),"y","")</f>
        <v/>
      </c>
      <c r="CA30" s="18" t="str">
        <f t="shared" si="71"/>
        <v/>
      </c>
      <c r="CB30" s="18" t="str">
        <f t="shared" si="71"/>
        <v/>
      </c>
      <c r="CC30" s="18" t="str">
        <f t="shared" si="71"/>
        <v/>
      </c>
      <c r="CD30" s="18" t="str">
        <f t="shared" si="71"/>
        <v/>
      </c>
      <c r="CE30" s="18" t="str">
        <f t="shared" si="71"/>
        <v/>
      </c>
      <c r="CF30" s="18" t="str">
        <f t="shared" si="71"/>
        <v/>
      </c>
      <c r="CG30" s="18" t="str">
        <f t="shared" si="71"/>
        <v/>
      </c>
      <c r="CH30" s="18" t="str">
        <f t="shared" si="71"/>
        <v/>
      </c>
      <c r="CI30" s="18" t="str">
        <f t="shared" si="71"/>
        <v/>
      </c>
      <c r="CJ30" s="18" t="str">
        <f t="shared" si="71"/>
        <v/>
      </c>
      <c r="CK30" s="18" t="str">
        <f t="shared" si="71"/>
        <v/>
      </c>
      <c r="CL30" s="18" t="str">
        <f t="shared" si="71"/>
        <v/>
      </c>
      <c r="CM30" s="18" t="str">
        <f t="shared" si="71"/>
        <v/>
      </c>
      <c r="CN30" s="18" t="str">
        <f t="shared" si="71"/>
        <v/>
      </c>
      <c r="CO30" s="18" t="str">
        <f t="shared" si="71"/>
        <v/>
      </c>
      <c r="CP30" s="18" t="str">
        <f t="shared" si="71"/>
        <v/>
      </c>
      <c r="CQ30" s="18" t="str">
        <f t="shared" si="71"/>
        <v/>
      </c>
      <c r="CR30" s="18" t="str">
        <f t="shared" si="71"/>
        <v/>
      </c>
      <c r="CS30" s="18" t="str">
        <f t="shared" si="71"/>
        <v/>
      </c>
      <c r="CT30" s="18" t="str">
        <f t="shared" si="71"/>
        <v/>
      </c>
      <c r="CU30" s="18" t="str">
        <f t="shared" si="71"/>
        <v/>
      </c>
      <c r="CV30" s="18" t="str">
        <f t="shared" si="71"/>
        <v/>
      </c>
      <c r="CW30" s="18" t="str">
        <f t="shared" si="71"/>
        <v/>
      </c>
      <c r="CX30" s="18" t="str">
        <f t="shared" si="71"/>
        <v/>
      </c>
      <c r="CY30" s="18" t="str">
        <f t="shared" si="71"/>
        <v/>
      </c>
      <c r="CZ30" s="18" t="str">
        <f t="shared" si="71"/>
        <v/>
      </c>
    </row>
    <row r="31" spans="1:104" ht="15" customHeight="1" x14ac:dyDescent="0.3">
      <c r="A31" s="3" t="s">
        <v>72</v>
      </c>
      <c r="B31" s="2" t="s">
        <v>68</v>
      </c>
      <c r="C31" s="3" t="s">
        <v>58</v>
      </c>
      <c r="D31" s="1" t="s">
        <v>73</v>
      </c>
      <c r="E31" s="1" t="s">
        <v>74</v>
      </c>
      <c r="F31" s="16" t="s">
        <v>54</v>
      </c>
      <c r="G31" s="15" t="s">
        <v>71</v>
      </c>
      <c r="H31" s="15" t="s">
        <v>75</v>
      </c>
      <c r="I31" s="15">
        <f>K31-J31+1</f>
        <v>14</v>
      </c>
      <c r="J31" s="17">
        <v>45950</v>
      </c>
      <c r="K31" s="17">
        <v>45963</v>
      </c>
      <c r="N31" s="18" t="str">
        <f t="shared" ref="N31:AS31" si="72">IF($D31="","",IF(AND($J31&lt;=N$4,$K31&gt;=N$4),"x",""))</f>
        <v/>
      </c>
      <c r="O31" s="18" t="str">
        <f t="shared" si="72"/>
        <v/>
      </c>
      <c r="P31" s="18" t="str">
        <f t="shared" si="72"/>
        <v/>
      </c>
      <c r="Q31" s="18" t="str">
        <f t="shared" si="72"/>
        <v/>
      </c>
      <c r="R31" s="18" t="str">
        <f t="shared" si="72"/>
        <v/>
      </c>
      <c r="S31" s="18" t="str">
        <f t="shared" si="72"/>
        <v/>
      </c>
      <c r="T31" s="18" t="str">
        <f t="shared" si="72"/>
        <v/>
      </c>
      <c r="U31" s="18" t="str">
        <f t="shared" si="72"/>
        <v/>
      </c>
      <c r="V31" s="18" t="str">
        <f t="shared" si="72"/>
        <v/>
      </c>
      <c r="W31" s="18" t="str">
        <f t="shared" si="72"/>
        <v/>
      </c>
      <c r="X31" s="18" t="str">
        <f t="shared" si="72"/>
        <v/>
      </c>
      <c r="Y31" s="18" t="str">
        <f t="shared" si="72"/>
        <v/>
      </c>
      <c r="Z31" s="18" t="str">
        <f t="shared" si="72"/>
        <v/>
      </c>
      <c r="AA31" s="18" t="str">
        <f t="shared" si="72"/>
        <v/>
      </c>
      <c r="AB31" s="18" t="str">
        <f t="shared" si="72"/>
        <v/>
      </c>
      <c r="AC31" s="18" t="str">
        <f t="shared" si="72"/>
        <v/>
      </c>
      <c r="AD31" s="18" t="str">
        <f t="shared" si="72"/>
        <v/>
      </c>
      <c r="AE31" s="18" t="str">
        <f t="shared" si="72"/>
        <v/>
      </c>
      <c r="AF31" s="18" t="str">
        <f t="shared" si="72"/>
        <v/>
      </c>
      <c r="AG31" s="18" t="str">
        <f t="shared" si="72"/>
        <v/>
      </c>
      <c r="AH31" s="18" t="str">
        <f t="shared" si="72"/>
        <v/>
      </c>
      <c r="AI31" s="18" t="str">
        <f t="shared" si="72"/>
        <v/>
      </c>
      <c r="AJ31" s="18" t="str">
        <f t="shared" si="72"/>
        <v/>
      </c>
      <c r="AK31" s="18" t="str">
        <f t="shared" si="72"/>
        <v/>
      </c>
      <c r="AL31" s="18" t="str">
        <f t="shared" si="72"/>
        <v/>
      </c>
      <c r="AM31" s="18" t="str">
        <f t="shared" si="72"/>
        <v/>
      </c>
      <c r="AN31" s="18" t="str">
        <f t="shared" si="72"/>
        <v/>
      </c>
      <c r="AO31" s="18" t="str">
        <f t="shared" si="72"/>
        <v/>
      </c>
      <c r="AP31" s="18" t="str">
        <f t="shared" si="72"/>
        <v/>
      </c>
      <c r="AQ31" s="18" t="str">
        <f t="shared" si="72"/>
        <v/>
      </c>
      <c r="AR31" s="18" t="str">
        <f t="shared" si="72"/>
        <v/>
      </c>
      <c r="AS31" s="18" t="str">
        <f t="shared" si="72"/>
        <v/>
      </c>
      <c r="AT31" s="18" t="str">
        <f t="shared" ref="AT31:BY31" si="73">IF($D31="","",IF(AND($J31&lt;=AT$4,$K31&gt;=AT$4),"x",""))</f>
        <v/>
      </c>
      <c r="AU31" s="18" t="str">
        <f t="shared" si="73"/>
        <v/>
      </c>
      <c r="AV31" s="18" t="str">
        <f t="shared" si="73"/>
        <v/>
      </c>
      <c r="AW31" s="18" t="str">
        <f t="shared" si="73"/>
        <v/>
      </c>
      <c r="AX31" s="18" t="str">
        <f t="shared" si="73"/>
        <v/>
      </c>
      <c r="AY31" s="18" t="str">
        <f t="shared" si="73"/>
        <v/>
      </c>
      <c r="AZ31" s="18" t="str">
        <f t="shared" si="73"/>
        <v/>
      </c>
      <c r="BA31" s="18" t="str">
        <f t="shared" si="73"/>
        <v/>
      </c>
      <c r="BB31" s="18" t="str">
        <f t="shared" si="73"/>
        <v/>
      </c>
      <c r="BC31" s="18" t="str">
        <f t="shared" si="73"/>
        <v/>
      </c>
      <c r="BD31" s="18" t="str">
        <f t="shared" si="73"/>
        <v>x</v>
      </c>
      <c r="BE31" s="18" t="str">
        <f t="shared" si="73"/>
        <v>x</v>
      </c>
      <c r="BF31" s="18" t="str">
        <f t="shared" si="73"/>
        <v>x</v>
      </c>
      <c r="BG31" s="18" t="str">
        <f t="shared" si="73"/>
        <v>x</v>
      </c>
      <c r="BH31" s="18" t="str">
        <f t="shared" si="73"/>
        <v>x</v>
      </c>
      <c r="BI31" s="18" t="str">
        <f t="shared" si="73"/>
        <v>x</v>
      </c>
      <c r="BJ31" s="18" t="str">
        <f t="shared" si="73"/>
        <v>x</v>
      </c>
      <c r="BK31" s="18" t="str">
        <f t="shared" si="73"/>
        <v>x</v>
      </c>
      <c r="BL31" s="18" t="str">
        <f t="shared" si="73"/>
        <v>x</v>
      </c>
      <c r="BM31" s="18" t="str">
        <f t="shared" si="73"/>
        <v>x</v>
      </c>
      <c r="BN31" s="18" t="str">
        <f t="shared" si="73"/>
        <v>x</v>
      </c>
      <c r="BO31" s="18" t="str">
        <f t="shared" si="73"/>
        <v>x</v>
      </c>
      <c r="BP31" s="18" t="str">
        <f t="shared" si="73"/>
        <v>x</v>
      </c>
      <c r="BQ31" s="18" t="str">
        <f t="shared" si="73"/>
        <v>x</v>
      </c>
      <c r="BR31" s="18" t="str">
        <f t="shared" si="73"/>
        <v/>
      </c>
      <c r="BS31" s="18" t="str">
        <f t="shared" si="73"/>
        <v/>
      </c>
      <c r="BT31" s="18" t="str">
        <f t="shared" si="73"/>
        <v/>
      </c>
      <c r="BU31" s="18" t="str">
        <f t="shared" si="73"/>
        <v/>
      </c>
      <c r="BV31" s="18" t="str">
        <f t="shared" si="73"/>
        <v/>
      </c>
      <c r="BW31" s="18" t="str">
        <f t="shared" si="73"/>
        <v/>
      </c>
      <c r="BX31" s="18" t="str">
        <f t="shared" si="73"/>
        <v/>
      </c>
      <c r="BY31" s="18" t="str">
        <f t="shared" si="73"/>
        <v/>
      </c>
      <c r="BZ31" s="18" t="str">
        <f t="shared" ref="BZ31:CZ31" si="74">IF($D31="","",IF(AND($J31&lt;=BZ$4,$K31&gt;=BZ$4),"x",""))</f>
        <v/>
      </c>
      <c r="CA31" s="18" t="str">
        <f t="shared" si="74"/>
        <v/>
      </c>
      <c r="CB31" s="18" t="str">
        <f t="shared" si="74"/>
        <v/>
      </c>
      <c r="CC31" s="18" t="str">
        <f t="shared" si="74"/>
        <v/>
      </c>
      <c r="CD31" s="18" t="str">
        <f t="shared" si="74"/>
        <v/>
      </c>
      <c r="CE31" s="18" t="str">
        <f t="shared" si="74"/>
        <v/>
      </c>
      <c r="CF31" s="18" t="str">
        <f t="shared" si="74"/>
        <v/>
      </c>
      <c r="CG31" s="18" t="str">
        <f t="shared" si="74"/>
        <v/>
      </c>
      <c r="CH31" s="18" t="str">
        <f t="shared" si="74"/>
        <v/>
      </c>
      <c r="CI31" s="18" t="str">
        <f t="shared" si="74"/>
        <v/>
      </c>
      <c r="CJ31" s="18" t="str">
        <f t="shared" si="74"/>
        <v/>
      </c>
      <c r="CK31" s="18" t="str">
        <f t="shared" si="74"/>
        <v/>
      </c>
      <c r="CL31" s="18" t="str">
        <f t="shared" si="74"/>
        <v/>
      </c>
      <c r="CM31" s="18" t="str">
        <f t="shared" si="74"/>
        <v/>
      </c>
      <c r="CN31" s="18" t="str">
        <f t="shared" si="74"/>
        <v/>
      </c>
      <c r="CO31" s="18" t="str">
        <f t="shared" si="74"/>
        <v/>
      </c>
      <c r="CP31" s="18" t="str">
        <f t="shared" si="74"/>
        <v/>
      </c>
      <c r="CQ31" s="18" t="str">
        <f t="shared" si="74"/>
        <v/>
      </c>
      <c r="CR31" s="18" t="str">
        <f t="shared" si="74"/>
        <v/>
      </c>
      <c r="CS31" s="18" t="str">
        <f t="shared" si="74"/>
        <v/>
      </c>
      <c r="CT31" s="18" t="str">
        <f t="shared" si="74"/>
        <v/>
      </c>
      <c r="CU31" s="18" t="str">
        <f t="shared" si="74"/>
        <v/>
      </c>
      <c r="CV31" s="18" t="str">
        <f t="shared" si="74"/>
        <v/>
      </c>
      <c r="CW31" s="18" t="str">
        <f t="shared" si="74"/>
        <v/>
      </c>
      <c r="CX31" s="18" t="str">
        <f t="shared" si="74"/>
        <v/>
      </c>
      <c r="CY31" s="18" t="str">
        <f t="shared" si="74"/>
        <v/>
      </c>
      <c r="CZ31" s="18" t="str">
        <f t="shared" si="74"/>
        <v/>
      </c>
    </row>
    <row r="32" spans="1:104" ht="15" customHeight="1" x14ac:dyDescent="0.3">
      <c r="A32" s="3"/>
      <c r="B32" s="2"/>
      <c r="C32" s="3"/>
      <c r="D32" s="3"/>
      <c r="E32" s="3"/>
      <c r="F32" s="19"/>
      <c r="J32" s="20"/>
      <c r="K32" s="20"/>
      <c r="L32" s="21">
        <v>45950</v>
      </c>
      <c r="M32" s="21">
        <v>45963</v>
      </c>
      <c r="N32" s="18" t="str">
        <f t="shared" ref="N32:AS32" si="75">IF(AND($L32&lt;=N$4,$M32&gt;=N$4),"y","")</f>
        <v/>
      </c>
      <c r="O32" s="18" t="str">
        <f t="shared" si="75"/>
        <v/>
      </c>
      <c r="P32" s="18" t="str">
        <f t="shared" si="75"/>
        <v/>
      </c>
      <c r="Q32" s="18" t="str">
        <f t="shared" si="75"/>
        <v/>
      </c>
      <c r="R32" s="18" t="str">
        <f t="shared" si="75"/>
        <v/>
      </c>
      <c r="S32" s="18" t="str">
        <f t="shared" si="75"/>
        <v/>
      </c>
      <c r="T32" s="18" t="str">
        <f t="shared" si="75"/>
        <v/>
      </c>
      <c r="U32" s="18" t="str">
        <f t="shared" si="75"/>
        <v/>
      </c>
      <c r="V32" s="18" t="str">
        <f t="shared" si="75"/>
        <v/>
      </c>
      <c r="W32" s="18" t="str">
        <f t="shared" si="75"/>
        <v/>
      </c>
      <c r="X32" s="18" t="str">
        <f t="shared" si="75"/>
        <v/>
      </c>
      <c r="Y32" s="18" t="str">
        <f t="shared" si="75"/>
        <v/>
      </c>
      <c r="Z32" s="18" t="str">
        <f t="shared" si="75"/>
        <v/>
      </c>
      <c r="AA32" s="18" t="str">
        <f t="shared" si="75"/>
        <v/>
      </c>
      <c r="AB32" s="18" t="str">
        <f t="shared" si="75"/>
        <v/>
      </c>
      <c r="AC32" s="18" t="str">
        <f t="shared" si="75"/>
        <v/>
      </c>
      <c r="AD32" s="18" t="str">
        <f t="shared" si="75"/>
        <v/>
      </c>
      <c r="AE32" s="18" t="str">
        <f t="shared" si="75"/>
        <v/>
      </c>
      <c r="AF32" s="18" t="str">
        <f t="shared" si="75"/>
        <v/>
      </c>
      <c r="AG32" s="18" t="str">
        <f t="shared" si="75"/>
        <v/>
      </c>
      <c r="AH32" s="18" t="str">
        <f t="shared" si="75"/>
        <v/>
      </c>
      <c r="AI32" s="18" t="str">
        <f t="shared" si="75"/>
        <v/>
      </c>
      <c r="AJ32" s="18" t="str">
        <f t="shared" si="75"/>
        <v/>
      </c>
      <c r="AK32" s="18" t="str">
        <f t="shared" si="75"/>
        <v/>
      </c>
      <c r="AL32" s="18" t="str">
        <f t="shared" si="75"/>
        <v/>
      </c>
      <c r="AM32" s="18" t="str">
        <f t="shared" si="75"/>
        <v/>
      </c>
      <c r="AN32" s="18" t="str">
        <f t="shared" si="75"/>
        <v/>
      </c>
      <c r="AO32" s="18" t="str">
        <f t="shared" si="75"/>
        <v/>
      </c>
      <c r="AP32" s="18" t="str">
        <f t="shared" si="75"/>
        <v/>
      </c>
      <c r="AQ32" s="18" t="str">
        <f t="shared" si="75"/>
        <v/>
      </c>
      <c r="AR32" s="18" t="str">
        <f t="shared" si="75"/>
        <v/>
      </c>
      <c r="AS32" s="18" t="str">
        <f t="shared" si="75"/>
        <v/>
      </c>
      <c r="AT32" s="18" t="str">
        <f t="shared" ref="AT32:BY32" si="76">IF(AND($L32&lt;=AT$4,$M32&gt;=AT$4),"y","")</f>
        <v/>
      </c>
      <c r="AU32" s="18" t="str">
        <f t="shared" si="76"/>
        <v/>
      </c>
      <c r="AV32" s="18" t="str">
        <f t="shared" si="76"/>
        <v/>
      </c>
      <c r="AW32" s="18" t="str">
        <f t="shared" si="76"/>
        <v/>
      </c>
      <c r="AX32" s="18" t="str">
        <f t="shared" si="76"/>
        <v/>
      </c>
      <c r="AY32" s="18" t="str">
        <f t="shared" si="76"/>
        <v/>
      </c>
      <c r="AZ32" s="18" t="str">
        <f t="shared" si="76"/>
        <v/>
      </c>
      <c r="BA32" s="18" t="str">
        <f t="shared" si="76"/>
        <v/>
      </c>
      <c r="BB32" s="18" t="str">
        <f t="shared" si="76"/>
        <v/>
      </c>
      <c r="BC32" s="18" t="str">
        <f t="shared" si="76"/>
        <v/>
      </c>
      <c r="BD32" s="18" t="str">
        <f t="shared" si="76"/>
        <v>y</v>
      </c>
      <c r="BE32" s="18" t="str">
        <f t="shared" si="76"/>
        <v>y</v>
      </c>
      <c r="BF32" s="18" t="str">
        <f t="shared" si="76"/>
        <v>y</v>
      </c>
      <c r="BG32" s="18" t="str">
        <f t="shared" si="76"/>
        <v>y</v>
      </c>
      <c r="BH32" s="18" t="str">
        <f t="shared" si="76"/>
        <v>y</v>
      </c>
      <c r="BI32" s="18" t="str">
        <f t="shared" si="76"/>
        <v>y</v>
      </c>
      <c r="BJ32" s="18" t="str">
        <f t="shared" si="76"/>
        <v>y</v>
      </c>
      <c r="BK32" s="18" t="str">
        <f t="shared" si="76"/>
        <v>y</v>
      </c>
      <c r="BL32" s="18" t="str">
        <f t="shared" si="76"/>
        <v>y</v>
      </c>
      <c r="BM32" s="18" t="str">
        <f t="shared" si="76"/>
        <v>y</v>
      </c>
      <c r="BN32" s="18" t="str">
        <f t="shared" si="76"/>
        <v>y</v>
      </c>
      <c r="BO32" s="18" t="str">
        <f t="shared" si="76"/>
        <v>y</v>
      </c>
      <c r="BP32" s="18" t="str">
        <f t="shared" si="76"/>
        <v>y</v>
      </c>
      <c r="BQ32" s="18" t="str">
        <f t="shared" si="76"/>
        <v>y</v>
      </c>
      <c r="BR32" s="18" t="str">
        <f t="shared" si="76"/>
        <v/>
      </c>
      <c r="BS32" s="18" t="str">
        <f t="shared" si="76"/>
        <v/>
      </c>
      <c r="BT32" s="18" t="str">
        <f t="shared" si="76"/>
        <v/>
      </c>
      <c r="BU32" s="18" t="str">
        <f t="shared" si="76"/>
        <v/>
      </c>
      <c r="BV32" s="18" t="str">
        <f t="shared" si="76"/>
        <v/>
      </c>
      <c r="BW32" s="18" t="str">
        <f t="shared" si="76"/>
        <v/>
      </c>
      <c r="BX32" s="18" t="str">
        <f t="shared" si="76"/>
        <v/>
      </c>
      <c r="BY32" s="18" t="str">
        <f t="shared" si="76"/>
        <v/>
      </c>
      <c r="BZ32" s="18" t="str">
        <f t="shared" ref="BZ32:CZ32" si="77">IF(AND($L32&lt;=BZ$4,$M32&gt;=BZ$4),"y","")</f>
        <v/>
      </c>
      <c r="CA32" s="18" t="str">
        <f t="shared" si="77"/>
        <v/>
      </c>
      <c r="CB32" s="18" t="str">
        <f t="shared" si="77"/>
        <v/>
      </c>
      <c r="CC32" s="18" t="str">
        <f t="shared" si="77"/>
        <v/>
      </c>
      <c r="CD32" s="18" t="str">
        <f t="shared" si="77"/>
        <v/>
      </c>
      <c r="CE32" s="18" t="str">
        <f t="shared" si="77"/>
        <v/>
      </c>
      <c r="CF32" s="18" t="str">
        <f t="shared" si="77"/>
        <v/>
      </c>
      <c r="CG32" s="18" t="str">
        <f t="shared" si="77"/>
        <v/>
      </c>
      <c r="CH32" s="18" t="str">
        <f t="shared" si="77"/>
        <v/>
      </c>
      <c r="CI32" s="18" t="str">
        <f t="shared" si="77"/>
        <v/>
      </c>
      <c r="CJ32" s="18" t="str">
        <f t="shared" si="77"/>
        <v/>
      </c>
      <c r="CK32" s="18" t="str">
        <f t="shared" si="77"/>
        <v/>
      </c>
      <c r="CL32" s="18" t="str">
        <f t="shared" si="77"/>
        <v/>
      </c>
      <c r="CM32" s="18" t="str">
        <f t="shared" si="77"/>
        <v/>
      </c>
      <c r="CN32" s="18" t="str">
        <f t="shared" si="77"/>
        <v/>
      </c>
      <c r="CO32" s="18" t="str">
        <f t="shared" si="77"/>
        <v/>
      </c>
      <c r="CP32" s="18" t="str">
        <f t="shared" si="77"/>
        <v/>
      </c>
      <c r="CQ32" s="18" t="str">
        <f t="shared" si="77"/>
        <v/>
      </c>
      <c r="CR32" s="18" t="str">
        <f t="shared" si="77"/>
        <v/>
      </c>
      <c r="CS32" s="18" t="str">
        <f t="shared" si="77"/>
        <v/>
      </c>
      <c r="CT32" s="18" t="str">
        <f t="shared" si="77"/>
        <v/>
      </c>
      <c r="CU32" s="18" t="str">
        <f t="shared" si="77"/>
        <v/>
      </c>
      <c r="CV32" s="18" t="str">
        <f t="shared" si="77"/>
        <v/>
      </c>
      <c r="CW32" s="18" t="str">
        <f t="shared" si="77"/>
        <v/>
      </c>
      <c r="CX32" s="18" t="str">
        <f t="shared" si="77"/>
        <v/>
      </c>
      <c r="CY32" s="18" t="str">
        <f t="shared" si="77"/>
        <v/>
      </c>
      <c r="CZ32" s="18" t="str">
        <f t="shared" si="77"/>
        <v/>
      </c>
    </row>
    <row r="33" spans="1:104" ht="15" customHeight="1" x14ac:dyDescent="0.3">
      <c r="A33" s="3" t="s">
        <v>76</v>
      </c>
      <c r="B33" s="2" t="s">
        <v>63</v>
      </c>
      <c r="C33" s="3" t="s">
        <v>58</v>
      </c>
      <c r="D33" s="1" t="s">
        <v>77</v>
      </c>
      <c r="E33" s="1" t="s">
        <v>78</v>
      </c>
      <c r="F33" s="16" t="s">
        <v>66</v>
      </c>
      <c r="G33" s="15" t="s">
        <v>75</v>
      </c>
      <c r="H33" s="15" t="s">
        <v>75</v>
      </c>
      <c r="I33" s="15">
        <f>K33-J33+1</f>
        <v>7</v>
      </c>
      <c r="J33" s="17">
        <v>45957</v>
      </c>
      <c r="K33" s="17">
        <v>45963</v>
      </c>
      <c r="N33" s="18" t="str">
        <f t="shared" ref="N33:AS33" si="78">IF($D33="","",IF(AND($J33&lt;=N$4,$K33&gt;=N$4),"x",""))</f>
        <v/>
      </c>
      <c r="O33" s="18" t="str">
        <f t="shared" si="78"/>
        <v/>
      </c>
      <c r="P33" s="18" t="str">
        <f t="shared" si="78"/>
        <v/>
      </c>
      <c r="Q33" s="18" t="str">
        <f t="shared" si="78"/>
        <v/>
      </c>
      <c r="R33" s="18" t="str">
        <f t="shared" si="78"/>
        <v/>
      </c>
      <c r="S33" s="18" t="str">
        <f t="shared" si="78"/>
        <v/>
      </c>
      <c r="T33" s="18" t="str">
        <f t="shared" si="78"/>
        <v/>
      </c>
      <c r="U33" s="18" t="str">
        <f t="shared" si="78"/>
        <v/>
      </c>
      <c r="V33" s="18" t="str">
        <f t="shared" si="78"/>
        <v/>
      </c>
      <c r="W33" s="18" t="str">
        <f t="shared" si="78"/>
        <v/>
      </c>
      <c r="X33" s="18" t="str">
        <f t="shared" si="78"/>
        <v/>
      </c>
      <c r="Y33" s="18" t="str">
        <f t="shared" si="78"/>
        <v/>
      </c>
      <c r="Z33" s="18" t="str">
        <f t="shared" si="78"/>
        <v/>
      </c>
      <c r="AA33" s="18" t="str">
        <f t="shared" si="78"/>
        <v/>
      </c>
      <c r="AB33" s="18" t="str">
        <f t="shared" si="78"/>
        <v/>
      </c>
      <c r="AC33" s="18" t="str">
        <f t="shared" si="78"/>
        <v/>
      </c>
      <c r="AD33" s="18" t="str">
        <f t="shared" si="78"/>
        <v/>
      </c>
      <c r="AE33" s="18" t="str">
        <f t="shared" si="78"/>
        <v/>
      </c>
      <c r="AF33" s="18" t="str">
        <f t="shared" si="78"/>
        <v/>
      </c>
      <c r="AG33" s="18" t="str">
        <f t="shared" si="78"/>
        <v/>
      </c>
      <c r="AH33" s="18" t="str">
        <f t="shared" si="78"/>
        <v/>
      </c>
      <c r="AI33" s="18" t="str">
        <f t="shared" si="78"/>
        <v/>
      </c>
      <c r="AJ33" s="18" t="str">
        <f t="shared" si="78"/>
        <v/>
      </c>
      <c r="AK33" s="18" t="str">
        <f t="shared" si="78"/>
        <v/>
      </c>
      <c r="AL33" s="18" t="str">
        <f t="shared" si="78"/>
        <v/>
      </c>
      <c r="AM33" s="18" t="str">
        <f t="shared" si="78"/>
        <v/>
      </c>
      <c r="AN33" s="18" t="str">
        <f t="shared" si="78"/>
        <v/>
      </c>
      <c r="AO33" s="18" t="str">
        <f t="shared" si="78"/>
        <v/>
      </c>
      <c r="AP33" s="18" t="str">
        <f t="shared" si="78"/>
        <v/>
      </c>
      <c r="AQ33" s="18" t="str">
        <f t="shared" si="78"/>
        <v/>
      </c>
      <c r="AR33" s="18" t="str">
        <f t="shared" si="78"/>
        <v/>
      </c>
      <c r="AS33" s="18" t="str">
        <f t="shared" si="78"/>
        <v/>
      </c>
      <c r="AT33" s="18" t="str">
        <f t="shared" ref="AT33:BY33" si="79">IF($D33="","",IF(AND($J33&lt;=AT$4,$K33&gt;=AT$4),"x",""))</f>
        <v/>
      </c>
      <c r="AU33" s="18" t="str">
        <f t="shared" si="79"/>
        <v/>
      </c>
      <c r="AV33" s="18" t="str">
        <f t="shared" si="79"/>
        <v/>
      </c>
      <c r="AW33" s="18" t="str">
        <f t="shared" si="79"/>
        <v/>
      </c>
      <c r="AX33" s="18" t="str">
        <f t="shared" si="79"/>
        <v/>
      </c>
      <c r="AY33" s="18" t="str">
        <f t="shared" si="79"/>
        <v/>
      </c>
      <c r="AZ33" s="18" t="str">
        <f t="shared" si="79"/>
        <v/>
      </c>
      <c r="BA33" s="18" t="str">
        <f t="shared" si="79"/>
        <v/>
      </c>
      <c r="BB33" s="18" t="str">
        <f t="shared" si="79"/>
        <v/>
      </c>
      <c r="BC33" s="18" t="str">
        <f t="shared" si="79"/>
        <v/>
      </c>
      <c r="BD33" s="18" t="str">
        <f t="shared" si="79"/>
        <v/>
      </c>
      <c r="BE33" s="18" t="str">
        <f t="shared" si="79"/>
        <v/>
      </c>
      <c r="BF33" s="18" t="str">
        <f t="shared" si="79"/>
        <v/>
      </c>
      <c r="BG33" s="18" t="str">
        <f t="shared" si="79"/>
        <v/>
      </c>
      <c r="BH33" s="18" t="str">
        <f t="shared" si="79"/>
        <v/>
      </c>
      <c r="BI33" s="18" t="str">
        <f t="shared" si="79"/>
        <v/>
      </c>
      <c r="BJ33" s="18" t="str">
        <f t="shared" si="79"/>
        <v/>
      </c>
      <c r="BK33" s="18" t="str">
        <f t="shared" si="79"/>
        <v>x</v>
      </c>
      <c r="BL33" s="18" t="str">
        <f t="shared" si="79"/>
        <v>x</v>
      </c>
      <c r="BM33" s="18" t="str">
        <f t="shared" si="79"/>
        <v>x</v>
      </c>
      <c r="BN33" s="18" t="str">
        <f t="shared" si="79"/>
        <v>x</v>
      </c>
      <c r="BO33" s="18" t="str">
        <f t="shared" si="79"/>
        <v>x</v>
      </c>
      <c r="BP33" s="18" t="str">
        <f t="shared" si="79"/>
        <v>x</v>
      </c>
      <c r="BQ33" s="18" t="str">
        <f t="shared" si="79"/>
        <v>x</v>
      </c>
      <c r="BR33" s="18" t="str">
        <f t="shared" si="79"/>
        <v/>
      </c>
      <c r="BS33" s="18" t="str">
        <f t="shared" si="79"/>
        <v/>
      </c>
      <c r="BT33" s="18" t="str">
        <f t="shared" si="79"/>
        <v/>
      </c>
      <c r="BU33" s="18" t="str">
        <f t="shared" si="79"/>
        <v/>
      </c>
      <c r="BV33" s="18" t="str">
        <f t="shared" si="79"/>
        <v/>
      </c>
      <c r="BW33" s="18" t="str">
        <f t="shared" si="79"/>
        <v/>
      </c>
      <c r="BX33" s="18" t="str">
        <f t="shared" si="79"/>
        <v/>
      </c>
      <c r="BY33" s="18" t="str">
        <f t="shared" si="79"/>
        <v/>
      </c>
      <c r="BZ33" s="18" t="str">
        <f t="shared" ref="BZ33:CZ33" si="80">IF($D33="","",IF(AND($J33&lt;=BZ$4,$K33&gt;=BZ$4),"x",""))</f>
        <v/>
      </c>
      <c r="CA33" s="18" t="str">
        <f t="shared" si="80"/>
        <v/>
      </c>
      <c r="CB33" s="18" t="str">
        <f t="shared" si="80"/>
        <v/>
      </c>
      <c r="CC33" s="18" t="str">
        <f t="shared" si="80"/>
        <v/>
      </c>
      <c r="CD33" s="18" t="str">
        <f t="shared" si="80"/>
        <v/>
      </c>
      <c r="CE33" s="18" t="str">
        <f t="shared" si="80"/>
        <v/>
      </c>
      <c r="CF33" s="18" t="str">
        <f t="shared" si="80"/>
        <v/>
      </c>
      <c r="CG33" s="18" t="str">
        <f t="shared" si="80"/>
        <v/>
      </c>
      <c r="CH33" s="18" t="str">
        <f t="shared" si="80"/>
        <v/>
      </c>
      <c r="CI33" s="18" t="str">
        <f t="shared" si="80"/>
        <v/>
      </c>
      <c r="CJ33" s="18" t="str">
        <f t="shared" si="80"/>
        <v/>
      </c>
      <c r="CK33" s="18" t="str">
        <f t="shared" si="80"/>
        <v/>
      </c>
      <c r="CL33" s="18" t="str">
        <f t="shared" si="80"/>
        <v/>
      </c>
      <c r="CM33" s="18" t="str">
        <f t="shared" si="80"/>
        <v/>
      </c>
      <c r="CN33" s="18" t="str">
        <f t="shared" si="80"/>
        <v/>
      </c>
      <c r="CO33" s="18" t="str">
        <f t="shared" si="80"/>
        <v/>
      </c>
      <c r="CP33" s="18" t="str">
        <f t="shared" si="80"/>
        <v/>
      </c>
      <c r="CQ33" s="18" t="str">
        <f t="shared" si="80"/>
        <v/>
      </c>
      <c r="CR33" s="18" t="str">
        <f t="shared" si="80"/>
        <v/>
      </c>
      <c r="CS33" s="18" t="str">
        <f t="shared" si="80"/>
        <v/>
      </c>
      <c r="CT33" s="18" t="str">
        <f t="shared" si="80"/>
        <v/>
      </c>
      <c r="CU33" s="18" t="str">
        <f t="shared" si="80"/>
        <v/>
      </c>
      <c r="CV33" s="18" t="str">
        <f t="shared" si="80"/>
        <v/>
      </c>
      <c r="CW33" s="18" t="str">
        <f t="shared" si="80"/>
        <v/>
      </c>
      <c r="CX33" s="18" t="str">
        <f t="shared" si="80"/>
        <v/>
      </c>
      <c r="CY33" s="18" t="str">
        <f t="shared" si="80"/>
        <v/>
      </c>
      <c r="CZ33" s="18" t="str">
        <f t="shared" si="80"/>
        <v/>
      </c>
    </row>
    <row r="34" spans="1:104" ht="15" customHeight="1" x14ac:dyDescent="0.3">
      <c r="A34" s="3"/>
      <c r="B34" s="2"/>
      <c r="C34" s="3"/>
      <c r="D34" s="3"/>
      <c r="E34" s="3"/>
      <c r="F34" s="19"/>
      <c r="J34" s="20"/>
      <c r="K34" s="20"/>
      <c r="L34" s="21">
        <v>45957</v>
      </c>
      <c r="M34" s="21">
        <v>45963</v>
      </c>
      <c r="N34" s="18" t="str">
        <f t="shared" ref="N34:AS34" si="81">IF(AND($L34&lt;=N$4,$M34&gt;=N$4),"y","")</f>
        <v/>
      </c>
      <c r="O34" s="18" t="str">
        <f t="shared" si="81"/>
        <v/>
      </c>
      <c r="P34" s="18" t="str">
        <f t="shared" si="81"/>
        <v/>
      </c>
      <c r="Q34" s="18" t="str">
        <f t="shared" si="81"/>
        <v/>
      </c>
      <c r="R34" s="18" t="str">
        <f t="shared" si="81"/>
        <v/>
      </c>
      <c r="S34" s="18" t="str">
        <f t="shared" si="81"/>
        <v/>
      </c>
      <c r="T34" s="18" t="str">
        <f t="shared" si="81"/>
        <v/>
      </c>
      <c r="U34" s="18" t="str">
        <f t="shared" si="81"/>
        <v/>
      </c>
      <c r="V34" s="18" t="str">
        <f t="shared" si="81"/>
        <v/>
      </c>
      <c r="W34" s="18" t="str">
        <f t="shared" si="81"/>
        <v/>
      </c>
      <c r="X34" s="18" t="str">
        <f t="shared" si="81"/>
        <v/>
      </c>
      <c r="Y34" s="18" t="str">
        <f t="shared" si="81"/>
        <v/>
      </c>
      <c r="Z34" s="18" t="str">
        <f t="shared" si="81"/>
        <v/>
      </c>
      <c r="AA34" s="18" t="str">
        <f t="shared" si="81"/>
        <v/>
      </c>
      <c r="AB34" s="18" t="str">
        <f t="shared" si="81"/>
        <v/>
      </c>
      <c r="AC34" s="18" t="str">
        <f t="shared" si="81"/>
        <v/>
      </c>
      <c r="AD34" s="18" t="str">
        <f t="shared" si="81"/>
        <v/>
      </c>
      <c r="AE34" s="18" t="str">
        <f t="shared" si="81"/>
        <v/>
      </c>
      <c r="AF34" s="18" t="str">
        <f t="shared" si="81"/>
        <v/>
      </c>
      <c r="AG34" s="18" t="str">
        <f t="shared" si="81"/>
        <v/>
      </c>
      <c r="AH34" s="18" t="str">
        <f t="shared" si="81"/>
        <v/>
      </c>
      <c r="AI34" s="18" t="str">
        <f t="shared" si="81"/>
        <v/>
      </c>
      <c r="AJ34" s="18" t="str">
        <f t="shared" si="81"/>
        <v/>
      </c>
      <c r="AK34" s="18" t="str">
        <f t="shared" si="81"/>
        <v/>
      </c>
      <c r="AL34" s="18" t="str">
        <f t="shared" si="81"/>
        <v/>
      </c>
      <c r="AM34" s="18" t="str">
        <f t="shared" si="81"/>
        <v/>
      </c>
      <c r="AN34" s="18" t="str">
        <f t="shared" si="81"/>
        <v/>
      </c>
      <c r="AO34" s="18" t="str">
        <f t="shared" si="81"/>
        <v/>
      </c>
      <c r="AP34" s="18" t="str">
        <f t="shared" si="81"/>
        <v/>
      </c>
      <c r="AQ34" s="18" t="str">
        <f t="shared" si="81"/>
        <v/>
      </c>
      <c r="AR34" s="18" t="str">
        <f t="shared" si="81"/>
        <v/>
      </c>
      <c r="AS34" s="18" t="str">
        <f t="shared" si="81"/>
        <v/>
      </c>
      <c r="AT34" s="18" t="str">
        <f t="shared" ref="AT34:BY34" si="82">IF(AND($L34&lt;=AT$4,$M34&gt;=AT$4),"y","")</f>
        <v/>
      </c>
      <c r="AU34" s="18" t="str">
        <f t="shared" si="82"/>
        <v/>
      </c>
      <c r="AV34" s="18" t="str">
        <f t="shared" si="82"/>
        <v/>
      </c>
      <c r="AW34" s="18" t="str">
        <f t="shared" si="82"/>
        <v/>
      </c>
      <c r="AX34" s="18" t="str">
        <f t="shared" si="82"/>
        <v/>
      </c>
      <c r="AY34" s="18" t="str">
        <f t="shared" si="82"/>
        <v/>
      </c>
      <c r="AZ34" s="18" t="str">
        <f t="shared" si="82"/>
        <v/>
      </c>
      <c r="BA34" s="18" t="str">
        <f t="shared" si="82"/>
        <v/>
      </c>
      <c r="BB34" s="18" t="str">
        <f t="shared" si="82"/>
        <v/>
      </c>
      <c r="BC34" s="18" t="str">
        <f t="shared" si="82"/>
        <v/>
      </c>
      <c r="BD34" s="18" t="str">
        <f t="shared" si="82"/>
        <v/>
      </c>
      <c r="BE34" s="18" t="str">
        <f t="shared" si="82"/>
        <v/>
      </c>
      <c r="BF34" s="18" t="str">
        <f t="shared" si="82"/>
        <v/>
      </c>
      <c r="BG34" s="18" t="str">
        <f t="shared" si="82"/>
        <v/>
      </c>
      <c r="BH34" s="18" t="str">
        <f t="shared" si="82"/>
        <v/>
      </c>
      <c r="BI34" s="18" t="str">
        <f t="shared" si="82"/>
        <v/>
      </c>
      <c r="BJ34" s="18" t="str">
        <f t="shared" si="82"/>
        <v/>
      </c>
      <c r="BK34" s="18" t="str">
        <f t="shared" si="82"/>
        <v>y</v>
      </c>
      <c r="BL34" s="18" t="str">
        <f t="shared" si="82"/>
        <v>y</v>
      </c>
      <c r="BM34" s="18" t="str">
        <f t="shared" si="82"/>
        <v>y</v>
      </c>
      <c r="BN34" s="18" t="str">
        <f t="shared" si="82"/>
        <v>y</v>
      </c>
      <c r="BO34" s="18" t="str">
        <f t="shared" si="82"/>
        <v>y</v>
      </c>
      <c r="BP34" s="18" t="str">
        <f t="shared" si="82"/>
        <v>y</v>
      </c>
      <c r="BQ34" s="18" t="str">
        <f t="shared" si="82"/>
        <v>y</v>
      </c>
      <c r="BR34" s="18" t="str">
        <f t="shared" si="82"/>
        <v/>
      </c>
      <c r="BS34" s="18" t="str">
        <f t="shared" si="82"/>
        <v/>
      </c>
      <c r="BT34" s="18" t="str">
        <f t="shared" si="82"/>
        <v/>
      </c>
      <c r="BU34" s="18" t="str">
        <f t="shared" si="82"/>
        <v/>
      </c>
      <c r="BV34" s="18" t="str">
        <f t="shared" si="82"/>
        <v/>
      </c>
      <c r="BW34" s="18" t="str">
        <f t="shared" si="82"/>
        <v/>
      </c>
      <c r="BX34" s="18" t="str">
        <f t="shared" si="82"/>
        <v/>
      </c>
      <c r="BY34" s="18" t="str">
        <f t="shared" si="82"/>
        <v/>
      </c>
      <c r="BZ34" s="18" t="str">
        <f t="shared" ref="BZ34:CZ34" si="83">IF(AND($L34&lt;=BZ$4,$M34&gt;=BZ$4),"y","")</f>
        <v/>
      </c>
      <c r="CA34" s="18" t="str">
        <f t="shared" si="83"/>
        <v/>
      </c>
      <c r="CB34" s="18" t="str">
        <f t="shared" si="83"/>
        <v/>
      </c>
      <c r="CC34" s="18" t="str">
        <f t="shared" si="83"/>
        <v/>
      </c>
      <c r="CD34" s="18" t="str">
        <f t="shared" si="83"/>
        <v/>
      </c>
      <c r="CE34" s="18" t="str">
        <f t="shared" si="83"/>
        <v/>
      </c>
      <c r="CF34" s="18" t="str">
        <f t="shared" si="83"/>
        <v/>
      </c>
      <c r="CG34" s="18" t="str">
        <f t="shared" si="83"/>
        <v/>
      </c>
      <c r="CH34" s="18" t="str">
        <f t="shared" si="83"/>
        <v/>
      </c>
      <c r="CI34" s="18" t="str">
        <f t="shared" si="83"/>
        <v/>
      </c>
      <c r="CJ34" s="18" t="str">
        <f t="shared" si="83"/>
        <v/>
      </c>
      <c r="CK34" s="18" t="str">
        <f t="shared" si="83"/>
        <v/>
      </c>
      <c r="CL34" s="18" t="str">
        <f t="shared" si="83"/>
        <v/>
      </c>
      <c r="CM34" s="18" t="str">
        <f t="shared" si="83"/>
        <v/>
      </c>
      <c r="CN34" s="18" t="str">
        <f t="shared" si="83"/>
        <v/>
      </c>
      <c r="CO34" s="18" t="str">
        <f t="shared" si="83"/>
        <v/>
      </c>
      <c r="CP34" s="18" t="str">
        <f t="shared" si="83"/>
        <v/>
      </c>
      <c r="CQ34" s="18" t="str">
        <f t="shared" si="83"/>
        <v/>
      </c>
      <c r="CR34" s="18" t="str">
        <f t="shared" si="83"/>
        <v/>
      </c>
      <c r="CS34" s="18" t="str">
        <f t="shared" si="83"/>
        <v/>
      </c>
      <c r="CT34" s="18" t="str">
        <f t="shared" si="83"/>
        <v/>
      </c>
      <c r="CU34" s="18" t="str">
        <f t="shared" si="83"/>
        <v/>
      </c>
      <c r="CV34" s="18" t="str">
        <f t="shared" si="83"/>
        <v/>
      </c>
      <c r="CW34" s="18" t="str">
        <f t="shared" si="83"/>
        <v/>
      </c>
      <c r="CX34" s="18" t="str">
        <f t="shared" si="83"/>
        <v/>
      </c>
      <c r="CY34" s="18" t="str">
        <f t="shared" si="83"/>
        <v/>
      </c>
      <c r="CZ34" s="18" t="str">
        <f t="shared" si="83"/>
        <v/>
      </c>
    </row>
    <row r="35" spans="1:104" ht="15" customHeight="1" x14ac:dyDescent="0.3">
      <c r="A35" s="3" t="s">
        <v>79</v>
      </c>
      <c r="B35" s="2" t="s">
        <v>80</v>
      </c>
      <c r="C35" s="3" t="s">
        <v>58</v>
      </c>
      <c r="D35" s="1" t="s">
        <v>81</v>
      </c>
      <c r="E35" s="1" t="s">
        <v>82</v>
      </c>
      <c r="F35" s="16" t="s">
        <v>54</v>
      </c>
      <c r="G35" s="15" t="s">
        <v>75</v>
      </c>
      <c r="H35" s="15" t="s">
        <v>83</v>
      </c>
      <c r="I35" s="15">
        <f>K35-J35+1</f>
        <v>14</v>
      </c>
      <c r="J35" s="17">
        <v>45957</v>
      </c>
      <c r="K35" s="17">
        <v>45970</v>
      </c>
      <c r="N35" s="18" t="str">
        <f t="shared" ref="N35:AS35" si="84">IF($D35="","",IF(AND($J35&lt;=N$4,$K35&gt;=N$4),"x",""))</f>
        <v/>
      </c>
      <c r="O35" s="18" t="str">
        <f t="shared" si="84"/>
        <v/>
      </c>
      <c r="P35" s="18" t="str">
        <f t="shared" si="84"/>
        <v/>
      </c>
      <c r="Q35" s="18" t="str">
        <f t="shared" si="84"/>
        <v/>
      </c>
      <c r="R35" s="18" t="str">
        <f t="shared" si="84"/>
        <v/>
      </c>
      <c r="S35" s="18" t="str">
        <f t="shared" si="84"/>
        <v/>
      </c>
      <c r="T35" s="18" t="str">
        <f t="shared" si="84"/>
        <v/>
      </c>
      <c r="U35" s="18" t="str">
        <f t="shared" si="84"/>
        <v/>
      </c>
      <c r="V35" s="18" t="str">
        <f t="shared" si="84"/>
        <v/>
      </c>
      <c r="W35" s="18" t="str">
        <f t="shared" si="84"/>
        <v/>
      </c>
      <c r="X35" s="18" t="str">
        <f t="shared" si="84"/>
        <v/>
      </c>
      <c r="Y35" s="18" t="str">
        <f t="shared" si="84"/>
        <v/>
      </c>
      <c r="Z35" s="18" t="str">
        <f t="shared" si="84"/>
        <v/>
      </c>
      <c r="AA35" s="18" t="str">
        <f t="shared" si="84"/>
        <v/>
      </c>
      <c r="AB35" s="18" t="str">
        <f t="shared" si="84"/>
        <v/>
      </c>
      <c r="AC35" s="18" t="str">
        <f t="shared" si="84"/>
        <v/>
      </c>
      <c r="AD35" s="18" t="str">
        <f t="shared" si="84"/>
        <v/>
      </c>
      <c r="AE35" s="18" t="str">
        <f t="shared" si="84"/>
        <v/>
      </c>
      <c r="AF35" s="18" t="str">
        <f t="shared" si="84"/>
        <v/>
      </c>
      <c r="AG35" s="18" t="str">
        <f t="shared" si="84"/>
        <v/>
      </c>
      <c r="AH35" s="18" t="str">
        <f t="shared" si="84"/>
        <v/>
      </c>
      <c r="AI35" s="18" t="str">
        <f t="shared" si="84"/>
        <v/>
      </c>
      <c r="AJ35" s="18" t="str">
        <f t="shared" si="84"/>
        <v/>
      </c>
      <c r="AK35" s="18" t="str">
        <f t="shared" si="84"/>
        <v/>
      </c>
      <c r="AL35" s="18" t="str">
        <f t="shared" si="84"/>
        <v/>
      </c>
      <c r="AM35" s="18" t="str">
        <f t="shared" si="84"/>
        <v/>
      </c>
      <c r="AN35" s="18" t="str">
        <f t="shared" si="84"/>
        <v/>
      </c>
      <c r="AO35" s="18" t="str">
        <f t="shared" si="84"/>
        <v/>
      </c>
      <c r="AP35" s="18" t="str">
        <f t="shared" si="84"/>
        <v/>
      </c>
      <c r="AQ35" s="18" t="str">
        <f t="shared" si="84"/>
        <v/>
      </c>
      <c r="AR35" s="18" t="str">
        <f t="shared" si="84"/>
        <v/>
      </c>
      <c r="AS35" s="18" t="str">
        <f t="shared" si="84"/>
        <v/>
      </c>
      <c r="AT35" s="18" t="str">
        <f t="shared" ref="AT35:BY35" si="85">IF($D35="","",IF(AND($J35&lt;=AT$4,$K35&gt;=AT$4),"x",""))</f>
        <v/>
      </c>
      <c r="AU35" s="18" t="str">
        <f t="shared" si="85"/>
        <v/>
      </c>
      <c r="AV35" s="18" t="str">
        <f t="shared" si="85"/>
        <v/>
      </c>
      <c r="AW35" s="18" t="str">
        <f t="shared" si="85"/>
        <v/>
      </c>
      <c r="AX35" s="18" t="str">
        <f t="shared" si="85"/>
        <v/>
      </c>
      <c r="AY35" s="18" t="str">
        <f t="shared" si="85"/>
        <v/>
      </c>
      <c r="AZ35" s="18" t="str">
        <f t="shared" si="85"/>
        <v/>
      </c>
      <c r="BA35" s="18" t="str">
        <f t="shared" si="85"/>
        <v/>
      </c>
      <c r="BB35" s="18" t="str">
        <f t="shared" si="85"/>
        <v/>
      </c>
      <c r="BC35" s="18" t="str">
        <f t="shared" si="85"/>
        <v/>
      </c>
      <c r="BD35" s="18" t="str">
        <f t="shared" si="85"/>
        <v/>
      </c>
      <c r="BE35" s="18" t="str">
        <f t="shared" si="85"/>
        <v/>
      </c>
      <c r="BF35" s="18" t="str">
        <f t="shared" si="85"/>
        <v/>
      </c>
      <c r="BG35" s="18" t="str">
        <f t="shared" si="85"/>
        <v/>
      </c>
      <c r="BH35" s="18" t="str">
        <f t="shared" si="85"/>
        <v/>
      </c>
      <c r="BI35" s="18" t="str">
        <f t="shared" si="85"/>
        <v/>
      </c>
      <c r="BJ35" s="18" t="str">
        <f t="shared" si="85"/>
        <v/>
      </c>
      <c r="BK35" s="18" t="str">
        <f t="shared" si="85"/>
        <v>x</v>
      </c>
      <c r="BL35" s="18" t="str">
        <f t="shared" si="85"/>
        <v>x</v>
      </c>
      <c r="BM35" s="18" t="str">
        <f t="shared" si="85"/>
        <v>x</v>
      </c>
      <c r="BN35" s="18" t="str">
        <f t="shared" si="85"/>
        <v>x</v>
      </c>
      <c r="BO35" s="18" t="str">
        <f t="shared" si="85"/>
        <v>x</v>
      </c>
      <c r="BP35" s="18" t="str">
        <f t="shared" si="85"/>
        <v>x</v>
      </c>
      <c r="BQ35" s="18" t="str">
        <f t="shared" si="85"/>
        <v>x</v>
      </c>
      <c r="BR35" s="18" t="str">
        <f t="shared" si="85"/>
        <v>x</v>
      </c>
      <c r="BS35" s="18" t="str">
        <f t="shared" si="85"/>
        <v>x</v>
      </c>
      <c r="BT35" s="18" t="str">
        <f t="shared" si="85"/>
        <v>x</v>
      </c>
      <c r="BU35" s="18" t="str">
        <f t="shared" si="85"/>
        <v>x</v>
      </c>
      <c r="BV35" s="18" t="str">
        <f t="shared" si="85"/>
        <v>x</v>
      </c>
      <c r="BW35" s="18" t="str">
        <f t="shared" si="85"/>
        <v>x</v>
      </c>
      <c r="BX35" s="18" t="str">
        <f t="shared" si="85"/>
        <v>x</v>
      </c>
      <c r="BY35" s="18" t="str">
        <f t="shared" si="85"/>
        <v/>
      </c>
      <c r="BZ35" s="18" t="str">
        <f t="shared" ref="BZ35:CZ35" si="86">IF($D35="","",IF(AND($J35&lt;=BZ$4,$K35&gt;=BZ$4),"x",""))</f>
        <v/>
      </c>
      <c r="CA35" s="18" t="str">
        <f t="shared" si="86"/>
        <v/>
      </c>
      <c r="CB35" s="18" t="str">
        <f t="shared" si="86"/>
        <v/>
      </c>
      <c r="CC35" s="18" t="str">
        <f t="shared" si="86"/>
        <v/>
      </c>
      <c r="CD35" s="18" t="str">
        <f t="shared" si="86"/>
        <v/>
      </c>
      <c r="CE35" s="18" t="str">
        <f t="shared" si="86"/>
        <v/>
      </c>
      <c r="CF35" s="18" t="str">
        <f t="shared" si="86"/>
        <v/>
      </c>
      <c r="CG35" s="18" t="str">
        <f t="shared" si="86"/>
        <v/>
      </c>
      <c r="CH35" s="18" t="str">
        <f t="shared" si="86"/>
        <v/>
      </c>
      <c r="CI35" s="18" t="str">
        <f t="shared" si="86"/>
        <v/>
      </c>
      <c r="CJ35" s="18" t="str">
        <f t="shared" si="86"/>
        <v/>
      </c>
      <c r="CK35" s="18" t="str">
        <f t="shared" si="86"/>
        <v/>
      </c>
      <c r="CL35" s="18" t="str">
        <f t="shared" si="86"/>
        <v/>
      </c>
      <c r="CM35" s="18" t="str">
        <f t="shared" si="86"/>
        <v/>
      </c>
      <c r="CN35" s="18" t="str">
        <f t="shared" si="86"/>
        <v/>
      </c>
      <c r="CO35" s="18" t="str">
        <f t="shared" si="86"/>
        <v/>
      </c>
      <c r="CP35" s="18" t="str">
        <f t="shared" si="86"/>
        <v/>
      </c>
      <c r="CQ35" s="18" t="str">
        <f t="shared" si="86"/>
        <v/>
      </c>
      <c r="CR35" s="18" t="str">
        <f t="shared" si="86"/>
        <v/>
      </c>
      <c r="CS35" s="18" t="str">
        <f t="shared" si="86"/>
        <v/>
      </c>
      <c r="CT35" s="18" t="str">
        <f t="shared" si="86"/>
        <v/>
      </c>
      <c r="CU35" s="18" t="str">
        <f t="shared" si="86"/>
        <v/>
      </c>
      <c r="CV35" s="18" t="str">
        <f t="shared" si="86"/>
        <v/>
      </c>
      <c r="CW35" s="18" t="str">
        <f t="shared" si="86"/>
        <v/>
      </c>
      <c r="CX35" s="18" t="str">
        <f t="shared" si="86"/>
        <v/>
      </c>
      <c r="CY35" s="18" t="str">
        <f t="shared" si="86"/>
        <v/>
      </c>
      <c r="CZ35" s="18" t="str">
        <f t="shared" si="86"/>
        <v/>
      </c>
    </row>
    <row r="36" spans="1:104" ht="15" customHeight="1" x14ac:dyDescent="0.3">
      <c r="A36" s="3"/>
      <c r="B36" s="2"/>
      <c r="C36" s="3"/>
      <c r="D36" s="3"/>
      <c r="E36" s="3"/>
      <c r="F36" s="19"/>
      <c r="J36" s="20"/>
      <c r="K36" s="20"/>
      <c r="L36" s="21">
        <v>45957</v>
      </c>
      <c r="M36" s="21">
        <v>45970</v>
      </c>
      <c r="N36" s="18" t="str">
        <f t="shared" ref="N36:AS36" si="87">IF(AND($L36&lt;=N$4,$M36&gt;=N$4),"y","")</f>
        <v/>
      </c>
      <c r="O36" s="18" t="str">
        <f t="shared" si="87"/>
        <v/>
      </c>
      <c r="P36" s="18" t="str">
        <f t="shared" si="87"/>
        <v/>
      </c>
      <c r="Q36" s="18" t="str">
        <f t="shared" si="87"/>
        <v/>
      </c>
      <c r="R36" s="18" t="str">
        <f t="shared" si="87"/>
        <v/>
      </c>
      <c r="S36" s="18" t="str">
        <f t="shared" si="87"/>
        <v/>
      </c>
      <c r="T36" s="18" t="str">
        <f t="shared" si="87"/>
        <v/>
      </c>
      <c r="U36" s="18" t="str">
        <f t="shared" si="87"/>
        <v/>
      </c>
      <c r="V36" s="18" t="str">
        <f t="shared" si="87"/>
        <v/>
      </c>
      <c r="W36" s="18" t="str">
        <f t="shared" si="87"/>
        <v/>
      </c>
      <c r="X36" s="18" t="str">
        <f t="shared" si="87"/>
        <v/>
      </c>
      <c r="Y36" s="18" t="str">
        <f t="shared" si="87"/>
        <v/>
      </c>
      <c r="Z36" s="18" t="str">
        <f t="shared" si="87"/>
        <v/>
      </c>
      <c r="AA36" s="18" t="str">
        <f t="shared" si="87"/>
        <v/>
      </c>
      <c r="AB36" s="18" t="str">
        <f t="shared" si="87"/>
        <v/>
      </c>
      <c r="AC36" s="18" t="str">
        <f t="shared" si="87"/>
        <v/>
      </c>
      <c r="AD36" s="18" t="str">
        <f t="shared" si="87"/>
        <v/>
      </c>
      <c r="AE36" s="18" t="str">
        <f t="shared" si="87"/>
        <v/>
      </c>
      <c r="AF36" s="18" t="str">
        <f t="shared" si="87"/>
        <v/>
      </c>
      <c r="AG36" s="18" t="str">
        <f t="shared" si="87"/>
        <v/>
      </c>
      <c r="AH36" s="18" t="str">
        <f t="shared" si="87"/>
        <v/>
      </c>
      <c r="AI36" s="18" t="str">
        <f t="shared" si="87"/>
        <v/>
      </c>
      <c r="AJ36" s="18" t="str">
        <f t="shared" si="87"/>
        <v/>
      </c>
      <c r="AK36" s="18" t="str">
        <f t="shared" si="87"/>
        <v/>
      </c>
      <c r="AL36" s="18" t="str">
        <f t="shared" si="87"/>
        <v/>
      </c>
      <c r="AM36" s="18" t="str">
        <f t="shared" si="87"/>
        <v/>
      </c>
      <c r="AN36" s="18" t="str">
        <f t="shared" si="87"/>
        <v/>
      </c>
      <c r="AO36" s="18" t="str">
        <f t="shared" si="87"/>
        <v/>
      </c>
      <c r="AP36" s="18" t="str">
        <f t="shared" si="87"/>
        <v/>
      </c>
      <c r="AQ36" s="18" t="str">
        <f t="shared" si="87"/>
        <v/>
      </c>
      <c r="AR36" s="18" t="str">
        <f t="shared" si="87"/>
        <v/>
      </c>
      <c r="AS36" s="18" t="str">
        <f t="shared" si="87"/>
        <v/>
      </c>
      <c r="AT36" s="18" t="str">
        <f t="shared" ref="AT36:BY36" si="88">IF(AND($L36&lt;=AT$4,$M36&gt;=AT$4),"y","")</f>
        <v/>
      </c>
      <c r="AU36" s="18" t="str">
        <f t="shared" si="88"/>
        <v/>
      </c>
      <c r="AV36" s="18" t="str">
        <f t="shared" si="88"/>
        <v/>
      </c>
      <c r="AW36" s="18" t="str">
        <f t="shared" si="88"/>
        <v/>
      </c>
      <c r="AX36" s="18" t="str">
        <f t="shared" si="88"/>
        <v/>
      </c>
      <c r="AY36" s="18" t="str">
        <f t="shared" si="88"/>
        <v/>
      </c>
      <c r="AZ36" s="18" t="str">
        <f t="shared" si="88"/>
        <v/>
      </c>
      <c r="BA36" s="18" t="str">
        <f t="shared" si="88"/>
        <v/>
      </c>
      <c r="BB36" s="18" t="str">
        <f t="shared" si="88"/>
        <v/>
      </c>
      <c r="BC36" s="18" t="str">
        <f t="shared" si="88"/>
        <v/>
      </c>
      <c r="BD36" s="18" t="str">
        <f t="shared" si="88"/>
        <v/>
      </c>
      <c r="BE36" s="18" t="str">
        <f t="shared" si="88"/>
        <v/>
      </c>
      <c r="BF36" s="18" t="str">
        <f t="shared" si="88"/>
        <v/>
      </c>
      <c r="BG36" s="18" t="str">
        <f t="shared" si="88"/>
        <v/>
      </c>
      <c r="BH36" s="18" t="str">
        <f t="shared" si="88"/>
        <v/>
      </c>
      <c r="BI36" s="18" t="str">
        <f t="shared" si="88"/>
        <v/>
      </c>
      <c r="BJ36" s="18" t="str">
        <f t="shared" si="88"/>
        <v/>
      </c>
      <c r="BK36" s="18" t="str">
        <f t="shared" si="88"/>
        <v>y</v>
      </c>
      <c r="BL36" s="18" t="str">
        <f t="shared" si="88"/>
        <v>y</v>
      </c>
      <c r="BM36" s="18" t="str">
        <f t="shared" si="88"/>
        <v>y</v>
      </c>
      <c r="BN36" s="18" t="str">
        <f t="shared" si="88"/>
        <v>y</v>
      </c>
      <c r="BO36" s="18" t="str">
        <f t="shared" si="88"/>
        <v>y</v>
      </c>
      <c r="BP36" s="18" t="str">
        <f t="shared" si="88"/>
        <v>y</v>
      </c>
      <c r="BQ36" s="18" t="str">
        <f t="shared" si="88"/>
        <v>y</v>
      </c>
      <c r="BR36" s="18" t="str">
        <f t="shared" si="88"/>
        <v>y</v>
      </c>
      <c r="BS36" s="18" t="str">
        <f t="shared" si="88"/>
        <v>y</v>
      </c>
      <c r="BT36" s="18" t="str">
        <f t="shared" si="88"/>
        <v>y</v>
      </c>
      <c r="BU36" s="18" t="str">
        <f t="shared" si="88"/>
        <v>y</v>
      </c>
      <c r="BV36" s="18" t="str">
        <f t="shared" si="88"/>
        <v>y</v>
      </c>
      <c r="BW36" s="18" t="str">
        <f t="shared" si="88"/>
        <v>y</v>
      </c>
      <c r="BX36" s="18" t="str">
        <f t="shared" si="88"/>
        <v>y</v>
      </c>
      <c r="BY36" s="18" t="str">
        <f t="shared" si="88"/>
        <v/>
      </c>
      <c r="BZ36" s="18" t="str">
        <f t="shared" ref="BZ36:CZ36" si="89">IF(AND($L36&lt;=BZ$4,$M36&gt;=BZ$4),"y","")</f>
        <v/>
      </c>
      <c r="CA36" s="18" t="str">
        <f t="shared" si="89"/>
        <v/>
      </c>
      <c r="CB36" s="18" t="str">
        <f t="shared" si="89"/>
        <v/>
      </c>
      <c r="CC36" s="18" t="str">
        <f t="shared" si="89"/>
        <v/>
      </c>
      <c r="CD36" s="18" t="str">
        <f t="shared" si="89"/>
        <v/>
      </c>
      <c r="CE36" s="18" t="str">
        <f t="shared" si="89"/>
        <v/>
      </c>
      <c r="CF36" s="18" t="str">
        <f t="shared" si="89"/>
        <v/>
      </c>
      <c r="CG36" s="18" t="str">
        <f t="shared" si="89"/>
        <v/>
      </c>
      <c r="CH36" s="18" t="str">
        <f t="shared" si="89"/>
        <v/>
      </c>
      <c r="CI36" s="18" t="str">
        <f t="shared" si="89"/>
        <v/>
      </c>
      <c r="CJ36" s="18" t="str">
        <f t="shared" si="89"/>
        <v/>
      </c>
      <c r="CK36" s="18" t="str">
        <f t="shared" si="89"/>
        <v/>
      </c>
      <c r="CL36" s="18" t="str">
        <f t="shared" si="89"/>
        <v/>
      </c>
      <c r="CM36" s="18" t="str">
        <f t="shared" si="89"/>
        <v/>
      </c>
      <c r="CN36" s="18" t="str">
        <f t="shared" si="89"/>
        <v/>
      </c>
      <c r="CO36" s="18" t="str">
        <f t="shared" si="89"/>
        <v/>
      </c>
      <c r="CP36" s="18" t="str">
        <f t="shared" si="89"/>
        <v/>
      </c>
      <c r="CQ36" s="18" t="str">
        <f t="shared" si="89"/>
        <v/>
      </c>
      <c r="CR36" s="18" t="str">
        <f t="shared" si="89"/>
        <v/>
      </c>
      <c r="CS36" s="18" t="str">
        <f t="shared" si="89"/>
        <v/>
      </c>
      <c r="CT36" s="18" t="str">
        <f t="shared" si="89"/>
        <v/>
      </c>
      <c r="CU36" s="18" t="str">
        <f t="shared" si="89"/>
        <v/>
      </c>
      <c r="CV36" s="18" t="str">
        <f t="shared" si="89"/>
        <v/>
      </c>
      <c r="CW36" s="18" t="str">
        <f t="shared" si="89"/>
        <v/>
      </c>
      <c r="CX36" s="18" t="str">
        <f t="shared" si="89"/>
        <v/>
      </c>
      <c r="CY36" s="18" t="str">
        <f t="shared" si="89"/>
        <v/>
      </c>
      <c r="CZ36" s="18" t="str">
        <f t="shared" si="89"/>
        <v/>
      </c>
    </row>
    <row r="37" spans="1:104" ht="15" customHeight="1" x14ac:dyDescent="0.3">
      <c r="A37" s="3" t="s">
        <v>84</v>
      </c>
      <c r="B37" s="2" t="s">
        <v>79</v>
      </c>
      <c r="C37" s="3" t="s">
        <v>58</v>
      </c>
      <c r="D37" s="1" t="s">
        <v>85</v>
      </c>
      <c r="E37" s="1" t="s">
        <v>86</v>
      </c>
      <c r="F37" s="16" t="s">
        <v>66</v>
      </c>
      <c r="G37" s="15" t="s">
        <v>83</v>
      </c>
      <c r="H37" s="15" t="s">
        <v>87</v>
      </c>
      <c r="I37" s="15">
        <f>K37-J37+1</f>
        <v>14</v>
      </c>
      <c r="J37" s="17">
        <v>45964</v>
      </c>
      <c r="K37" s="17">
        <v>45977</v>
      </c>
      <c r="N37" s="18" t="str">
        <f t="shared" ref="N37:AS37" si="90">IF($D37="","",IF(AND($J37&lt;=N$4,$K37&gt;=N$4),"x",""))</f>
        <v/>
      </c>
      <c r="O37" s="18" t="str">
        <f t="shared" si="90"/>
        <v/>
      </c>
      <c r="P37" s="18" t="str">
        <f t="shared" si="90"/>
        <v/>
      </c>
      <c r="Q37" s="18" t="str">
        <f t="shared" si="90"/>
        <v/>
      </c>
      <c r="R37" s="18" t="str">
        <f t="shared" si="90"/>
        <v/>
      </c>
      <c r="S37" s="18" t="str">
        <f t="shared" si="90"/>
        <v/>
      </c>
      <c r="T37" s="18" t="str">
        <f t="shared" si="90"/>
        <v/>
      </c>
      <c r="U37" s="18" t="str">
        <f t="shared" si="90"/>
        <v/>
      </c>
      <c r="V37" s="18" t="str">
        <f t="shared" si="90"/>
        <v/>
      </c>
      <c r="W37" s="18" t="str">
        <f t="shared" si="90"/>
        <v/>
      </c>
      <c r="X37" s="18" t="str">
        <f t="shared" si="90"/>
        <v/>
      </c>
      <c r="Y37" s="18" t="str">
        <f t="shared" si="90"/>
        <v/>
      </c>
      <c r="Z37" s="18" t="str">
        <f t="shared" si="90"/>
        <v/>
      </c>
      <c r="AA37" s="18" t="str">
        <f t="shared" si="90"/>
        <v/>
      </c>
      <c r="AB37" s="18" t="str">
        <f t="shared" si="90"/>
        <v/>
      </c>
      <c r="AC37" s="18" t="str">
        <f t="shared" si="90"/>
        <v/>
      </c>
      <c r="AD37" s="18" t="str">
        <f t="shared" si="90"/>
        <v/>
      </c>
      <c r="AE37" s="18" t="str">
        <f t="shared" si="90"/>
        <v/>
      </c>
      <c r="AF37" s="18" t="str">
        <f t="shared" si="90"/>
        <v/>
      </c>
      <c r="AG37" s="18" t="str">
        <f t="shared" si="90"/>
        <v/>
      </c>
      <c r="AH37" s="18" t="str">
        <f t="shared" si="90"/>
        <v/>
      </c>
      <c r="AI37" s="18" t="str">
        <f t="shared" si="90"/>
        <v/>
      </c>
      <c r="AJ37" s="18" t="str">
        <f t="shared" si="90"/>
        <v/>
      </c>
      <c r="AK37" s="18" t="str">
        <f t="shared" si="90"/>
        <v/>
      </c>
      <c r="AL37" s="18" t="str">
        <f t="shared" si="90"/>
        <v/>
      </c>
      <c r="AM37" s="18" t="str">
        <f t="shared" si="90"/>
        <v/>
      </c>
      <c r="AN37" s="18" t="str">
        <f t="shared" si="90"/>
        <v/>
      </c>
      <c r="AO37" s="18" t="str">
        <f t="shared" si="90"/>
        <v/>
      </c>
      <c r="AP37" s="18" t="str">
        <f t="shared" si="90"/>
        <v/>
      </c>
      <c r="AQ37" s="18" t="str">
        <f t="shared" si="90"/>
        <v/>
      </c>
      <c r="AR37" s="18" t="str">
        <f t="shared" si="90"/>
        <v/>
      </c>
      <c r="AS37" s="18" t="str">
        <f t="shared" si="90"/>
        <v/>
      </c>
      <c r="AT37" s="18" t="str">
        <f t="shared" ref="AT37:BY37" si="91">IF($D37="","",IF(AND($J37&lt;=AT$4,$K37&gt;=AT$4),"x",""))</f>
        <v/>
      </c>
      <c r="AU37" s="18" t="str">
        <f t="shared" si="91"/>
        <v/>
      </c>
      <c r="AV37" s="18" t="str">
        <f t="shared" si="91"/>
        <v/>
      </c>
      <c r="AW37" s="18" t="str">
        <f t="shared" si="91"/>
        <v/>
      </c>
      <c r="AX37" s="18" t="str">
        <f t="shared" si="91"/>
        <v/>
      </c>
      <c r="AY37" s="18" t="str">
        <f t="shared" si="91"/>
        <v/>
      </c>
      <c r="AZ37" s="18" t="str">
        <f t="shared" si="91"/>
        <v/>
      </c>
      <c r="BA37" s="18" t="str">
        <f t="shared" si="91"/>
        <v/>
      </c>
      <c r="BB37" s="18" t="str">
        <f t="shared" si="91"/>
        <v/>
      </c>
      <c r="BC37" s="18" t="str">
        <f t="shared" si="91"/>
        <v/>
      </c>
      <c r="BD37" s="18" t="str">
        <f t="shared" si="91"/>
        <v/>
      </c>
      <c r="BE37" s="18" t="str">
        <f t="shared" si="91"/>
        <v/>
      </c>
      <c r="BF37" s="18" t="str">
        <f t="shared" si="91"/>
        <v/>
      </c>
      <c r="BG37" s="18" t="str">
        <f t="shared" si="91"/>
        <v/>
      </c>
      <c r="BH37" s="18" t="str">
        <f t="shared" si="91"/>
        <v/>
      </c>
      <c r="BI37" s="18" t="str">
        <f t="shared" si="91"/>
        <v/>
      </c>
      <c r="BJ37" s="18" t="str">
        <f t="shared" si="91"/>
        <v/>
      </c>
      <c r="BK37" s="18" t="str">
        <f t="shared" si="91"/>
        <v/>
      </c>
      <c r="BL37" s="18" t="str">
        <f t="shared" si="91"/>
        <v/>
      </c>
      <c r="BM37" s="18" t="str">
        <f t="shared" si="91"/>
        <v/>
      </c>
      <c r="BN37" s="18" t="str">
        <f t="shared" si="91"/>
        <v/>
      </c>
      <c r="BO37" s="18" t="str">
        <f t="shared" si="91"/>
        <v/>
      </c>
      <c r="BP37" s="18" t="str">
        <f t="shared" si="91"/>
        <v/>
      </c>
      <c r="BQ37" s="18" t="str">
        <f t="shared" si="91"/>
        <v/>
      </c>
      <c r="BR37" s="18" t="str">
        <f t="shared" si="91"/>
        <v>x</v>
      </c>
      <c r="BS37" s="18" t="str">
        <f t="shared" si="91"/>
        <v>x</v>
      </c>
      <c r="BT37" s="18" t="str">
        <f t="shared" si="91"/>
        <v>x</v>
      </c>
      <c r="BU37" s="18" t="str">
        <f t="shared" si="91"/>
        <v>x</v>
      </c>
      <c r="BV37" s="18" t="str">
        <f t="shared" si="91"/>
        <v>x</v>
      </c>
      <c r="BW37" s="18" t="str">
        <f t="shared" si="91"/>
        <v>x</v>
      </c>
      <c r="BX37" s="18" t="str">
        <f t="shared" si="91"/>
        <v>x</v>
      </c>
      <c r="BY37" s="18" t="str">
        <f t="shared" si="91"/>
        <v>x</v>
      </c>
      <c r="BZ37" s="18" t="str">
        <f t="shared" ref="BZ37:CZ37" si="92">IF($D37="","",IF(AND($J37&lt;=BZ$4,$K37&gt;=BZ$4),"x",""))</f>
        <v>x</v>
      </c>
      <c r="CA37" s="18" t="str">
        <f t="shared" si="92"/>
        <v>x</v>
      </c>
      <c r="CB37" s="18" t="str">
        <f t="shared" si="92"/>
        <v>x</v>
      </c>
      <c r="CC37" s="18" t="str">
        <f t="shared" si="92"/>
        <v>x</v>
      </c>
      <c r="CD37" s="18" t="str">
        <f t="shared" si="92"/>
        <v>x</v>
      </c>
      <c r="CE37" s="18" t="str">
        <f t="shared" si="92"/>
        <v>x</v>
      </c>
      <c r="CF37" s="18" t="str">
        <f t="shared" si="92"/>
        <v/>
      </c>
      <c r="CG37" s="18" t="str">
        <f t="shared" si="92"/>
        <v/>
      </c>
      <c r="CH37" s="18" t="str">
        <f t="shared" si="92"/>
        <v/>
      </c>
      <c r="CI37" s="18" t="str">
        <f t="shared" si="92"/>
        <v/>
      </c>
      <c r="CJ37" s="18" t="str">
        <f t="shared" si="92"/>
        <v/>
      </c>
      <c r="CK37" s="18" t="str">
        <f t="shared" si="92"/>
        <v/>
      </c>
      <c r="CL37" s="18" t="str">
        <f t="shared" si="92"/>
        <v/>
      </c>
      <c r="CM37" s="18" t="str">
        <f t="shared" si="92"/>
        <v/>
      </c>
      <c r="CN37" s="18" t="str">
        <f t="shared" si="92"/>
        <v/>
      </c>
      <c r="CO37" s="18" t="str">
        <f t="shared" si="92"/>
        <v/>
      </c>
      <c r="CP37" s="18" t="str">
        <f t="shared" si="92"/>
        <v/>
      </c>
      <c r="CQ37" s="18" t="str">
        <f t="shared" si="92"/>
        <v/>
      </c>
      <c r="CR37" s="18" t="str">
        <f t="shared" si="92"/>
        <v/>
      </c>
      <c r="CS37" s="18" t="str">
        <f t="shared" si="92"/>
        <v/>
      </c>
      <c r="CT37" s="18" t="str">
        <f t="shared" si="92"/>
        <v/>
      </c>
      <c r="CU37" s="18" t="str">
        <f t="shared" si="92"/>
        <v/>
      </c>
      <c r="CV37" s="18" t="str">
        <f t="shared" si="92"/>
        <v/>
      </c>
      <c r="CW37" s="18" t="str">
        <f t="shared" si="92"/>
        <v/>
      </c>
      <c r="CX37" s="18" t="str">
        <f t="shared" si="92"/>
        <v/>
      </c>
      <c r="CY37" s="18" t="str">
        <f t="shared" si="92"/>
        <v/>
      </c>
      <c r="CZ37" s="18" t="str">
        <f t="shared" si="92"/>
        <v/>
      </c>
    </row>
    <row r="38" spans="1:104" ht="15" customHeight="1" x14ac:dyDescent="0.3">
      <c r="A38" s="3"/>
      <c r="B38" s="2"/>
      <c r="C38" s="3"/>
      <c r="D38" s="3"/>
      <c r="E38" s="3"/>
      <c r="F38" s="19"/>
      <c r="J38" s="20"/>
      <c r="K38" s="20"/>
      <c r="L38" s="21">
        <v>45964</v>
      </c>
      <c r="M38" s="21">
        <v>45977</v>
      </c>
      <c r="N38" s="18" t="str">
        <f t="shared" ref="N38:AS38" si="93">IF(AND($L38&lt;=N$4,$M38&gt;=N$4),"y","")</f>
        <v/>
      </c>
      <c r="O38" s="18" t="str">
        <f t="shared" si="93"/>
        <v/>
      </c>
      <c r="P38" s="18" t="str">
        <f t="shared" si="93"/>
        <v/>
      </c>
      <c r="Q38" s="18" t="str">
        <f t="shared" si="93"/>
        <v/>
      </c>
      <c r="R38" s="18" t="str">
        <f t="shared" si="93"/>
        <v/>
      </c>
      <c r="S38" s="18" t="str">
        <f t="shared" si="93"/>
        <v/>
      </c>
      <c r="T38" s="18" t="str">
        <f t="shared" si="93"/>
        <v/>
      </c>
      <c r="U38" s="18" t="str">
        <f t="shared" si="93"/>
        <v/>
      </c>
      <c r="V38" s="18" t="str">
        <f t="shared" si="93"/>
        <v/>
      </c>
      <c r="W38" s="18" t="str">
        <f t="shared" si="93"/>
        <v/>
      </c>
      <c r="X38" s="18" t="str">
        <f t="shared" si="93"/>
        <v/>
      </c>
      <c r="Y38" s="18" t="str">
        <f t="shared" si="93"/>
        <v/>
      </c>
      <c r="Z38" s="18" t="str">
        <f t="shared" si="93"/>
        <v/>
      </c>
      <c r="AA38" s="18" t="str">
        <f t="shared" si="93"/>
        <v/>
      </c>
      <c r="AB38" s="18" t="str">
        <f t="shared" si="93"/>
        <v/>
      </c>
      <c r="AC38" s="18" t="str">
        <f t="shared" si="93"/>
        <v/>
      </c>
      <c r="AD38" s="18" t="str">
        <f t="shared" si="93"/>
        <v/>
      </c>
      <c r="AE38" s="18" t="str">
        <f t="shared" si="93"/>
        <v/>
      </c>
      <c r="AF38" s="18" t="str">
        <f t="shared" si="93"/>
        <v/>
      </c>
      <c r="AG38" s="18" t="str">
        <f t="shared" si="93"/>
        <v/>
      </c>
      <c r="AH38" s="18" t="str">
        <f t="shared" si="93"/>
        <v/>
      </c>
      <c r="AI38" s="18" t="str">
        <f t="shared" si="93"/>
        <v/>
      </c>
      <c r="AJ38" s="18" t="str">
        <f t="shared" si="93"/>
        <v/>
      </c>
      <c r="AK38" s="18" t="str">
        <f t="shared" si="93"/>
        <v/>
      </c>
      <c r="AL38" s="18" t="str">
        <f t="shared" si="93"/>
        <v/>
      </c>
      <c r="AM38" s="18" t="str">
        <f t="shared" si="93"/>
        <v/>
      </c>
      <c r="AN38" s="18" t="str">
        <f t="shared" si="93"/>
        <v/>
      </c>
      <c r="AO38" s="18" t="str">
        <f t="shared" si="93"/>
        <v/>
      </c>
      <c r="AP38" s="18" t="str">
        <f t="shared" si="93"/>
        <v/>
      </c>
      <c r="AQ38" s="18" t="str">
        <f t="shared" si="93"/>
        <v/>
      </c>
      <c r="AR38" s="18" t="str">
        <f t="shared" si="93"/>
        <v/>
      </c>
      <c r="AS38" s="18" t="str">
        <f t="shared" si="93"/>
        <v/>
      </c>
      <c r="AT38" s="18" t="str">
        <f t="shared" ref="AT38:BY38" si="94">IF(AND($L38&lt;=AT$4,$M38&gt;=AT$4),"y","")</f>
        <v/>
      </c>
      <c r="AU38" s="18" t="str">
        <f t="shared" si="94"/>
        <v/>
      </c>
      <c r="AV38" s="18" t="str">
        <f t="shared" si="94"/>
        <v/>
      </c>
      <c r="AW38" s="18" t="str">
        <f t="shared" si="94"/>
        <v/>
      </c>
      <c r="AX38" s="18" t="str">
        <f t="shared" si="94"/>
        <v/>
      </c>
      <c r="AY38" s="18" t="str">
        <f t="shared" si="94"/>
        <v/>
      </c>
      <c r="AZ38" s="18" t="str">
        <f t="shared" si="94"/>
        <v/>
      </c>
      <c r="BA38" s="18" t="str">
        <f t="shared" si="94"/>
        <v/>
      </c>
      <c r="BB38" s="18" t="str">
        <f t="shared" si="94"/>
        <v/>
      </c>
      <c r="BC38" s="18" t="str">
        <f t="shared" si="94"/>
        <v/>
      </c>
      <c r="BD38" s="18" t="str">
        <f t="shared" si="94"/>
        <v/>
      </c>
      <c r="BE38" s="18" t="str">
        <f t="shared" si="94"/>
        <v/>
      </c>
      <c r="BF38" s="18" t="str">
        <f t="shared" si="94"/>
        <v/>
      </c>
      <c r="BG38" s="18" t="str">
        <f t="shared" si="94"/>
        <v/>
      </c>
      <c r="BH38" s="18" t="str">
        <f t="shared" si="94"/>
        <v/>
      </c>
      <c r="BI38" s="18" t="str">
        <f t="shared" si="94"/>
        <v/>
      </c>
      <c r="BJ38" s="18" t="str">
        <f t="shared" si="94"/>
        <v/>
      </c>
      <c r="BK38" s="18" t="str">
        <f t="shared" si="94"/>
        <v/>
      </c>
      <c r="BL38" s="18" t="str">
        <f t="shared" si="94"/>
        <v/>
      </c>
      <c r="BM38" s="18" t="str">
        <f t="shared" si="94"/>
        <v/>
      </c>
      <c r="BN38" s="18" t="str">
        <f t="shared" si="94"/>
        <v/>
      </c>
      <c r="BO38" s="18" t="str">
        <f t="shared" si="94"/>
        <v/>
      </c>
      <c r="BP38" s="18" t="str">
        <f t="shared" si="94"/>
        <v/>
      </c>
      <c r="BQ38" s="18" t="str">
        <f t="shared" si="94"/>
        <v/>
      </c>
      <c r="BR38" s="18" t="str">
        <f t="shared" si="94"/>
        <v>y</v>
      </c>
      <c r="BS38" s="18" t="str">
        <f t="shared" si="94"/>
        <v>y</v>
      </c>
      <c r="BT38" s="18" t="str">
        <f t="shared" si="94"/>
        <v>y</v>
      </c>
      <c r="BU38" s="18" t="str">
        <f t="shared" si="94"/>
        <v>y</v>
      </c>
      <c r="BV38" s="18" t="str">
        <f t="shared" si="94"/>
        <v>y</v>
      </c>
      <c r="BW38" s="18" t="str">
        <f t="shared" si="94"/>
        <v>y</v>
      </c>
      <c r="BX38" s="18" t="str">
        <f t="shared" si="94"/>
        <v>y</v>
      </c>
      <c r="BY38" s="18" t="str">
        <f t="shared" si="94"/>
        <v>y</v>
      </c>
      <c r="BZ38" s="18" t="str">
        <f t="shared" ref="BZ38:CZ38" si="95">IF(AND($L38&lt;=BZ$4,$M38&gt;=BZ$4),"y","")</f>
        <v>y</v>
      </c>
      <c r="CA38" s="18" t="str">
        <f t="shared" si="95"/>
        <v>y</v>
      </c>
      <c r="CB38" s="18" t="str">
        <f t="shared" si="95"/>
        <v>y</v>
      </c>
      <c r="CC38" s="18" t="str">
        <f t="shared" si="95"/>
        <v>y</v>
      </c>
      <c r="CD38" s="18" t="str">
        <f t="shared" si="95"/>
        <v>y</v>
      </c>
      <c r="CE38" s="18" t="str">
        <f t="shared" si="95"/>
        <v>y</v>
      </c>
      <c r="CF38" s="18" t="str">
        <f t="shared" si="95"/>
        <v/>
      </c>
      <c r="CG38" s="18" t="str">
        <f t="shared" si="95"/>
        <v/>
      </c>
      <c r="CH38" s="18" t="str">
        <f t="shared" si="95"/>
        <v/>
      </c>
      <c r="CI38" s="18" t="str">
        <f t="shared" si="95"/>
        <v/>
      </c>
      <c r="CJ38" s="18" t="str">
        <f t="shared" si="95"/>
        <v/>
      </c>
      <c r="CK38" s="18" t="str">
        <f t="shared" si="95"/>
        <v/>
      </c>
      <c r="CL38" s="18" t="str">
        <f t="shared" si="95"/>
        <v/>
      </c>
      <c r="CM38" s="18" t="str">
        <f t="shared" si="95"/>
        <v/>
      </c>
      <c r="CN38" s="18" t="str">
        <f t="shared" si="95"/>
        <v/>
      </c>
      <c r="CO38" s="18" t="str">
        <f t="shared" si="95"/>
        <v/>
      </c>
      <c r="CP38" s="18" t="str">
        <f t="shared" si="95"/>
        <v/>
      </c>
      <c r="CQ38" s="18" t="str">
        <f t="shared" si="95"/>
        <v/>
      </c>
      <c r="CR38" s="18" t="str">
        <f t="shared" si="95"/>
        <v/>
      </c>
      <c r="CS38" s="18" t="str">
        <f t="shared" si="95"/>
        <v/>
      </c>
      <c r="CT38" s="18" t="str">
        <f t="shared" si="95"/>
        <v/>
      </c>
      <c r="CU38" s="18" t="str">
        <f t="shared" si="95"/>
        <v/>
      </c>
      <c r="CV38" s="18" t="str">
        <f t="shared" si="95"/>
        <v/>
      </c>
      <c r="CW38" s="18" t="str">
        <f t="shared" si="95"/>
        <v/>
      </c>
      <c r="CX38" s="18" t="str">
        <f t="shared" si="95"/>
        <v/>
      </c>
      <c r="CY38" s="18" t="str">
        <f t="shared" si="95"/>
        <v/>
      </c>
      <c r="CZ38" s="18" t="str">
        <f t="shared" si="95"/>
        <v/>
      </c>
    </row>
    <row r="39" spans="1:104" ht="14.25" customHeight="1" x14ac:dyDescent="0.3">
      <c r="A39" s="4" t="s">
        <v>88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10"/>
    </row>
    <row r="40" spans="1:104" ht="15" customHeight="1" x14ac:dyDescent="0.3">
      <c r="A40" s="3" t="s">
        <v>89</v>
      </c>
      <c r="B40" s="2" t="s">
        <v>84</v>
      </c>
      <c r="C40" s="3" t="s">
        <v>90</v>
      </c>
      <c r="D40" s="1" t="s">
        <v>91</v>
      </c>
      <c r="E40" s="1" t="s">
        <v>92</v>
      </c>
      <c r="F40" s="16" t="s">
        <v>93</v>
      </c>
      <c r="G40" s="15" t="s">
        <v>87</v>
      </c>
      <c r="H40" s="15" t="s">
        <v>87</v>
      </c>
      <c r="I40" s="15">
        <f>K40-J40+1</f>
        <v>7</v>
      </c>
      <c r="J40" s="17">
        <v>45971</v>
      </c>
      <c r="K40" s="17">
        <v>45977</v>
      </c>
      <c r="N40" s="18" t="str">
        <f t="shared" ref="N40:AS40" si="96">IF($D40="","",IF(AND($J40&lt;=N$4,$K40&gt;=N$4),"x",""))</f>
        <v/>
      </c>
      <c r="O40" s="18" t="str">
        <f t="shared" si="96"/>
        <v/>
      </c>
      <c r="P40" s="18" t="str">
        <f t="shared" si="96"/>
        <v/>
      </c>
      <c r="Q40" s="18" t="str">
        <f t="shared" si="96"/>
        <v/>
      </c>
      <c r="R40" s="18" t="str">
        <f t="shared" si="96"/>
        <v/>
      </c>
      <c r="S40" s="18" t="str">
        <f t="shared" si="96"/>
        <v/>
      </c>
      <c r="T40" s="18" t="str">
        <f t="shared" si="96"/>
        <v/>
      </c>
      <c r="U40" s="18" t="str">
        <f t="shared" si="96"/>
        <v/>
      </c>
      <c r="V40" s="18" t="str">
        <f t="shared" si="96"/>
        <v/>
      </c>
      <c r="W40" s="18" t="str">
        <f t="shared" si="96"/>
        <v/>
      </c>
      <c r="X40" s="18" t="str">
        <f t="shared" si="96"/>
        <v/>
      </c>
      <c r="Y40" s="18" t="str">
        <f t="shared" si="96"/>
        <v/>
      </c>
      <c r="Z40" s="18" t="str">
        <f t="shared" si="96"/>
        <v/>
      </c>
      <c r="AA40" s="18" t="str">
        <f t="shared" si="96"/>
        <v/>
      </c>
      <c r="AB40" s="18" t="str">
        <f t="shared" si="96"/>
        <v/>
      </c>
      <c r="AC40" s="18" t="str">
        <f t="shared" si="96"/>
        <v/>
      </c>
      <c r="AD40" s="18" t="str">
        <f t="shared" si="96"/>
        <v/>
      </c>
      <c r="AE40" s="18" t="str">
        <f t="shared" si="96"/>
        <v/>
      </c>
      <c r="AF40" s="18" t="str">
        <f t="shared" si="96"/>
        <v/>
      </c>
      <c r="AG40" s="18" t="str">
        <f t="shared" si="96"/>
        <v/>
      </c>
      <c r="AH40" s="18" t="str">
        <f t="shared" si="96"/>
        <v/>
      </c>
      <c r="AI40" s="18" t="str">
        <f t="shared" si="96"/>
        <v/>
      </c>
      <c r="AJ40" s="18" t="str">
        <f t="shared" si="96"/>
        <v/>
      </c>
      <c r="AK40" s="18" t="str">
        <f t="shared" si="96"/>
        <v/>
      </c>
      <c r="AL40" s="18" t="str">
        <f t="shared" si="96"/>
        <v/>
      </c>
      <c r="AM40" s="18" t="str">
        <f t="shared" si="96"/>
        <v/>
      </c>
      <c r="AN40" s="18" t="str">
        <f t="shared" si="96"/>
        <v/>
      </c>
      <c r="AO40" s="18" t="str">
        <f t="shared" si="96"/>
        <v/>
      </c>
      <c r="AP40" s="18" t="str">
        <f t="shared" si="96"/>
        <v/>
      </c>
      <c r="AQ40" s="18" t="str">
        <f t="shared" si="96"/>
        <v/>
      </c>
      <c r="AR40" s="18" t="str">
        <f t="shared" si="96"/>
        <v/>
      </c>
      <c r="AS40" s="18" t="str">
        <f t="shared" si="96"/>
        <v/>
      </c>
      <c r="AT40" s="18" t="str">
        <f t="shared" ref="AT40:BY40" si="97">IF($D40="","",IF(AND($J40&lt;=AT$4,$K40&gt;=AT$4),"x",""))</f>
        <v/>
      </c>
      <c r="AU40" s="18" t="str">
        <f t="shared" si="97"/>
        <v/>
      </c>
      <c r="AV40" s="18" t="str">
        <f t="shared" si="97"/>
        <v/>
      </c>
      <c r="AW40" s="18" t="str">
        <f t="shared" si="97"/>
        <v/>
      </c>
      <c r="AX40" s="18" t="str">
        <f t="shared" si="97"/>
        <v/>
      </c>
      <c r="AY40" s="18" t="str">
        <f t="shared" si="97"/>
        <v/>
      </c>
      <c r="AZ40" s="18" t="str">
        <f t="shared" si="97"/>
        <v/>
      </c>
      <c r="BA40" s="18" t="str">
        <f t="shared" si="97"/>
        <v/>
      </c>
      <c r="BB40" s="18" t="str">
        <f t="shared" si="97"/>
        <v/>
      </c>
      <c r="BC40" s="18" t="str">
        <f t="shared" si="97"/>
        <v/>
      </c>
      <c r="BD40" s="18" t="str">
        <f t="shared" si="97"/>
        <v/>
      </c>
      <c r="BE40" s="18" t="str">
        <f t="shared" si="97"/>
        <v/>
      </c>
      <c r="BF40" s="18" t="str">
        <f t="shared" si="97"/>
        <v/>
      </c>
      <c r="BG40" s="18" t="str">
        <f t="shared" si="97"/>
        <v/>
      </c>
      <c r="BH40" s="18" t="str">
        <f t="shared" si="97"/>
        <v/>
      </c>
      <c r="BI40" s="18" t="str">
        <f t="shared" si="97"/>
        <v/>
      </c>
      <c r="BJ40" s="18" t="str">
        <f t="shared" si="97"/>
        <v/>
      </c>
      <c r="BK40" s="18" t="str">
        <f t="shared" si="97"/>
        <v/>
      </c>
      <c r="BL40" s="18" t="str">
        <f t="shared" si="97"/>
        <v/>
      </c>
      <c r="BM40" s="18" t="str">
        <f t="shared" si="97"/>
        <v/>
      </c>
      <c r="BN40" s="18" t="str">
        <f t="shared" si="97"/>
        <v/>
      </c>
      <c r="BO40" s="18" t="str">
        <f t="shared" si="97"/>
        <v/>
      </c>
      <c r="BP40" s="18" t="str">
        <f t="shared" si="97"/>
        <v/>
      </c>
      <c r="BQ40" s="18" t="str">
        <f t="shared" si="97"/>
        <v/>
      </c>
      <c r="BR40" s="18" t="str">
        <f t="shared" si="97"/>
        <v/>
      </c>
      <c r="BS40" s="18" t="str">
        <f t="shared" si="97"/>
        <v/>
      </c>
      <c r="BT40" s="18" t="str">
        <f t="shared" si="97"/>
        <v/>
      </c>
      <c r="BU40" s="18" t="str">
        <f t="shared" si="97"/>
        <v/>
      </c>
      <c r="BV40" s="18" t="str">
        <f t="shared" si="97"/>
        <v/>
      </c>
      <c r="BW40" s="18" t="str">
        <f t="shared" si="97"/>
        <v/>
      </c>
      <c r="BX40" s="18" t="str">
        <f t="shared" si="97"/>
        <v/>
      </c>
      <c r="BY40" s="18" t="str">
        <f t="shared" si="97"/>
        <v>x</v>
      </c>
      <c r="BZ40" s="18" t="str">
        <f t="shared" ref="BZ40:CZ40" si="98">IF($D40="","",IF(AND($J40&lt;=BZ$4,$K40&gt;=BZ$4),"x",""))</f>
        <v>x</v>
      </c>
      <c r="CA40" s="18" t="str">
        <f t="shared" si="98"/>
        <v>x</v>
      </c>
      <c r="CB40" s="18" t="str">
        <f t="shared" si="98"/>
        <v>x</v>
      </c>
      <c r="CC40" s="18" t="str">
        <f t="shared" si="98"/>
        <v>x</v>
      </c>
      <c r="CD40" s="18" t="str">
        <f t="shared" si="98"/>
        <v>x</v>
      </c>
      <c r="CE40" s="18" t="str">
        <f t="shared" si="98"/>
        <v>x</v>
      </c>
      <c r="CF40" s="18" t="str">
        <f t="shared" si="98"/>
        <v/>
      </c>
      <c r="CG40" s="18" t="str">
        <f t="shared" si="98"/>
        <v/>
      </c>
      <c r="CH40" s="18" t="str">
        <f t="shared" si="98"/>
        <v/>
      </c>
      <c r="CI40" s="18" t="str">
        <f t="shared" si="98"/>
        <v/>
      </c>
      <c r="CJ40" s="18" t="str">
        <f t="shared" si="98"/>
        <v/>
      </c>
      <c r="CK40" s="18" t="str">
        <f t="shared" si="98"/>
        <v/>
      </c>
      <c r="CL40" s="18" t="str">
        <f t="shared" si="98"/>
        <v/>
      </c>
      <c r="CM40" s="18" t="str">
        <f t="shared" si="98"/>
        <v/>
      </c>
      <c r="CN40" s="18" t="str">
        <f t="shared" si="98"/>
        <v/>
      </c>
      <c r="CO40" s="18" t="str">
        <f t="shared" si="98"/>
        <v/>
      </c>
      <c r="CP40" s="18" t="str">
        <f t="shared" si="98"/>
        <v/>
      </c>
      <c r="CQ40" s="18" t="str">
        <f t="shared" si="98"/>
        <v/>
      </c>
      <c r="CR40" s="18" t="str">
        <f t="shared" si="98"/>
        <v/>
      </c>
      <c r="CS40" s="18" t="str">
        <f t="shared" si="98"/>
        <v/>
      </c>
      <c r="CT40" s="18" t="str">
        <f t="shared" si="98"/>
        <v/>
      </c>
      <c r="CU40" s="18" t="str">
        <f t="shared" si="98"/>
        <v/>
      </c>
      <c r="CV40" s="18" t="str">
        <f t="shared" si="98"/>
        <v/>
      </c>
      <c r="CW40" s="18" t="str">
        <f t="shared" si="98"/>
        <v/>
      </c>
      <c r="CX40" s="18" t="str">
        <f t="shared" si="98"/>
        <v/>
      </c>
      <c r="CY40" s="18" t="str">
        <f t="shared" si="98"/>
        <v/>
      </c>
      <c r="CZ40" s="18" t="str">
        <f t="shared" si="98"/>
        <v/>
      </c>
    </row>
    <row r="41" spans="1:104" ht="15" customHeight="1" x14ac:dyDescent="0.3">
      <c r="A41" s="3"/>
      <c r="B41" s="2"/>
      <c r="C41" s="3"/>
      <c r="D41" s="3"/>
      <c r="E41" s="3"/>
      <c r="F41" s="19"/>
      <c r="J41" s="20"/>
      <c r="K41" s="20"/>
      <c r="L41" s="21">
        <v>45971</v>
      </c>
      <c r="M41" s="21">
        <v>45977</v>
      </c>
      <c r="N41" s="18" t="str">
        <f t="shared" ref="N41:AS41" si="99">IF(AND($L41&lt;=N$4,$M41&gt;=N$4),"y","")</f>
        <v/>
      </c>
      <c r="O41" s="18" t="str">
        <f t="shared" si="99"/>
        <v/>
      </c>
      <c r="P41" s="18" t="str">
        <f t="shared" si="99"/>
        <v/>
      </c>
      <c r="Q41" s="18" t="str">
        <f t="shared" si="99"/>
        <v/>
      </c>
      <c r="R41" s="18" t="str">
        <f t="shared" si="99"/>
        <v/>
      </c>
      <c r="S41" s="18" t="str">
        <f t="shared" si="99"/>
        <v/>
      </c>
      <c r="T41" s="18" t="str">
        <f t="shared" si="99"/>
        <v/>
      </c>
      <c r="U41" s="18" t="str">
        <f t="shared" si="99"/>
        <v/>
      </c>
      <c r="V41" s="18" t="str">
        <f t="shared" si="99"/>
        <v/>
      </c>
      <c r="W41" s="18" t="str">
        <f t="shared" si="99"/>
        <v/>
      </c>
      <c r="X41" s="18" t="str">
        <f t="shared" si="99"/>
        <v/>
      </c>
      <c r="Y41" s="18" t="str">
        <f t="shared" si="99"/>
        <v/>
      </c>
      <c r="Z41" s="18" t="str">
        <f t="shared" si="99"/>
        <v/>
      </c>
      <c r="AA41" s="18" t="str">
        <f t="shared" si="99"/>
        <v/>
      </c>
      <c r="AB41" s="18" t="str">
        <f t="shared" si="99"/>
        <v/>
      </c>
      <c r="AC41" s="18" t="str">
        <f t="shared" si="99"/>
        <v/>
      </c>
      <c r="AD41" s="18" t="str">
        <f t="shared" si="99"/>
        <v/>
      </c>
      <c r="AE41" s="18" t="str">
        <f t="shared" si="99"/>
        <v/>
      </c>
      <c r="AF41" s="18" t="str">
        <f t="shared" si="99"/>
        <v/>
      </c>
      <c r="AG41" s="18" t="str">
        <f t="shared" si="99"/>
        <v/>
      </c>
      <c r="AH41" s="18" t="str">
        <f t="shared" si="99"/>
        <v/>
      </c>
      <c r="AI41" s="18" t="str">
        <f t="shared" si="99"/>
        <v/>
      </c>
      <c r="AJ41" s="18" t="str">
        <f t="shared" si="99"/>
        <v/>
      </c>
      <c r="AK41" s="18" t="str">
        <f t="shared" si="99"/>
        <v/>
      </c>
      <c r="AL41" s="18" t="str">
        <f t="shared" si="99"/>
        <v/>
      </c>
      <c r="AM41" s="18" t="str">
        <f t="shared" si="99"/>
        <v/>
      </c>
      <c r="AN41" s="18" t="str">
        <f t="shared" si="99"/>
        <v/>
      </c>
      <c r="AO41" s="18" t="str">
        <f t="shared" si="99"/>
        <v/>
      </c>
      <c r="AP41" s="18" t="str">
        <f t="shared" si="99"/>
        <v/>
      </c>
      <c r="AQ41" s="18" t="str">
        <f t="shared" si="99"/>
        <v/>
      </c>
      <c r="AR41" s="18" t="str">
        <f t="shared" si="99"/>
        <v/>
      </c>
      <c r="AS41" s="18" t="str">
        <f t="shared" si="99"/>
        <v/>
      </c>
      <c r="AT41" s="18" t="str">
        <f t="shared" ref="AT41:BY41" si="100">IF(AND($L41&lt;=AT$4,$M41&gt;=AT$4),"y","")</f>
        <v/>
      </c>
      <c r="AU41" s="18" t="str">
        <f t="shared" si="100"/>
        <v/>
      </c>
      <c r="AV41" s="18" t="str">
        <f t="shared" si="100"/>
        <v/>
      </c>
      <c r="AW41" s="18" t="str">
        <f t="shared" si="100"/>
        <v/>
      </c>
      <c r="AX41" s="18" t="str">
        <f t="shared" si="100"/>
        <v/>
      </c>
      <c r="AY41" s="18" t="str">
        <f t="shared" si="100"/>
        <v/>
      </c>
      <c r="AZ41" s="18" t="str">
        <f t="shared" si="100"/>
        <v/>
      </c>
      <c r="BA41" s="18" t="str">
        <f t="shared" si="100"/>
        <v/>
      </c>
      <c r="BB41" s="18" t="str">
        <f t="shared" si="100"/>
        <v/>
      </c>
      <c r="BC41" s="18" t="str">
        <f t="shared" si="100"/>
        <v/>
      </c>
      <c r="BD41" s="18" t="str">
        <f t="shared" si="100"/>
        <v/>
      </c>
      <c r="BE41" s="18" t="str">
        <f t="shared" si="100"/>
        <v/>
      </c>
      <c r="BF41" s="18" t="str">
        <f t="shared" si="100"/>
        <v/>
      </c>
      <c r="BG41" s="18" t="str">
        <f t="shared" si="100"/>
        <v/>
      </c>
      <c r="BH41" s="18" t="str">
        <f t="shared" si="100"/>
        <v/>
      </c>
      <c r="BI41" s="18" t="str">
        <f t="shared" si="100"/>
        <v/>
      </c>
      <c r="BJ41" s="18" t="str">
        <f t="shared" si="100"/>
        <v/>
      </c>
      <c r="BK41" s="18" t="str">
        <f t="shared" si="100"/>
        <v/>
      </c>
      <c r="BL41" s="18" t="str">
        <f t="shared" si="100"/>
        <v/>
      </c>
      <c r="BM41" s="18" t="str">
        <f t="shared" si="100"/>
        <v/>
      </c>
      <c r="BN41" s="18" t="str">
        <f t="shared" si="100"/>
        <v/>
      </c>
      <c r="BO41" s="18" t="str">
        <f t="shared" si="100"/>
        <v/>
      </c>
      <c r="BP41" s="18" t="str">
        <f t="shared" si="100"/>
        <v/>
      </c>
      <c r="BQ41" s="18" t="str">
        <f t="shared" si="100"/>
        <v/>
      </c>
      <c r="BR41" s="18" t="str">
        <f t="shared" si="100"/>
        <v/>
      </c>
      <c r="BS41" s="18" t="str">
        <f t="shared" si="100"/>
        <v/>
      </c>
      <c r="BT41" s="18" t="str">
        <f t="shared" si="100"/>
        <v/>
      </c>
      <c r="BU41" s="18" t="str">
        <f t="shared" si="100"/>
        <v/>
      </c>
      <c r="BV41" s="18" t="str">
        <f t="shared" si="100"/>
        <v/>
      </c>
      <c r="BW41" s="18" t="str">
        <f t="shared" si="100"/>
        <v/>
      </c>
      <c r="BX41" s="18" t="str">
        <f t="shared" si="100"/>
        <v/>
      </c>
      <c r="BY41" s="18" t="str">
        <f t="shared" si="100"/>
        <v>y</v>
      </c>
      <c r="BZ41" s="18" t="str">
        <f t="shared" ref="BZ41:CZ41" si="101">IF(AND($L41&lt;=BZ$4,$M41&gt;=BZ$4),"y","")</f>
        <v>y</v>
      </c>
      <c r="CA41" s="18" t="str">
        <f t="shared" si="101"/>
        <v>y</v>
      </c>
      <c r="CB41" s="18" t="str">
        <f t="shared" si="101"/>
        <v>y</v>
      </c>
      <c r="CC41" s="18" t="str">
        <f t="shared" si="101"/>
        <v>y</v>
      </c>
      <c r="CD41" s="18" t="str">
        <f t="shared" si="101"/>
        <v>y</v>
      </c>
      <c r="CE41" s="18" t="str">
        <f t="shared" si="101"/>
        <v>y</v>
      </c>
      <c r="CF41" s="18" t="str">
        <f t="shared" si="101"/>
        <v/>
      </c>
      <c r="CG41" s="18" t="str">
        <f t="shared" si="101"/>
        <v/>
      </c>
      <c r="CH41" s="18" t="str">
        <f t="shared" si="101"/>
        <v/>
      </c>
      <c r="CI41" s="18" t="str">
        <f t="shared" si="101"/>
        <v/>
      </c>
      <c r="CJ41" s="18" t="str">
        <f t="shared" si="101"/>
        <v/>
      </c>
      <c r="CK41" s="18" t="str">
        <f t="shared" si="101"/>
        <v/>
      </c>
      <c r="CL41" s="18" t="str">
        <f t="shared" si="101"/>
        <v/>
      </c>
      <c r="CM41" s="18" t="str">
        <f t="shared" si="101"/>
        <v/>
      </c>
      <c r="CN41" s="18" t="str">
        <f t="shared" si="101"/>
        <v/>
      </c>
      <c r="CO41" s="18" t="str">
        <f t="shared" si="101"/>
        <v/>
      </c>
      <c r="CP41" s="18" t="str">
        <f t="shared" si="101"/>
        <v/>
      </c>
      <c r="CQ41" s="18" t="str">
        <f t="shared" si="101"/>
        <v/>
      </c>
      <c r="CR41" s="18" t="str">
        <f t="shared" si="101"/>
        <v/>
      </c>
      <c r="CS41" s="18" t="str">
        <f t="shared" si="101"/>
        <v/>
      </c>
      <c r="CT41" s="18" t="str">
        <f t="shared" si="101"/>
        <v/>
      </c>
      <c r="CU41" s="18" t="str">
        <f t="shared" si="101"/>
        <v/>
      </c>
      <c r="CV41" s="18" t="str">
        <f t="shared" si="101"/>
        <v/>
      </c>
      <c r="CW41" s="18" t="str">
        <f t="shared" si="101"/>
        <v/>
      </c>
      <c r="CX41" s="18" t="str">
        <f t="shared" si="101"/>
        <v/>
      </c>
      <c r="CY41" s="18" t="str">
        <f t="shared" si="101"/>
        <v/>
      </c>
      <c r="CZ41" s="18" t="str">
        <f t="shared" si="101"/>
        <v/>
      </c>
    </row>
    <row r="42" spans="1:104" ht="15" customHeight="1" x14ac:dyDescent="0.3">
      <c r="A42" s="3" t="s">
        <v>94</v>
      </c>
      <c r="B42" s="2" t="s">
        <v>89</v>
      </c>
      <c r="C42" s="3" t="s">
        <v>90</v>
      </c>
      <c r="D42" s="1" t="s">
        <v>95</v>
      </c>
      <c r="E42" s="1" t="s">
        <v>96</v>
      </c>
      <c r="F42" s="16" t="s">
        <v>97</v>
      </c>
      <c r="G42" s="15" t="s">
        <v>98</v>
      </c>
      <c r="H42" s="15" t="s">
        <v>98</v>
      </c>
      <c r="I42" s="15">
        <f>K42-J42+1</f>
        <v>7</v>
      </c>
      <c r="J42" s="17">
        <v>45978</v>
      </c>
      <c r="K42" s="17">
        <v>45984</v>
      </c>
      <c r="N42" s="18" t="str">
        <f t="shared" ref="N42:AS42" si="102">IF($D42="","",IF(AND($J42&lt;=N$4,$K42&gt;=N$4),"x",""))</f>
        <v/>
      </c>
      <c r="O42" s="18" t="str">
        <f t="shared" si="102"/>
        <v/>
      </c>
      <c r="P42" s="18" t="str">
        <f t="shared" si="102"/>
        <v/>
      </c>
      <c r="Q42" s="18" t="str">
        <f t="shared" si="102"/>
        <v/>
      </c>
      <c r="R42" s="18" t="str">
        <f t="shared" si="102"/>
        <v/>
      </c>
      <c r="S42" s="18" t="str">
        <f t="shared" si="102"/>
        <v/>
      </c>
      <c r="T42" s="18" t="str">
        <f t="shared" si="102"/>
        <v/>
      </c>
      <c r="U42" s="18" t="str">
        <f t="shared" si="102"/>
        <v/>
      </c>
      <c r="V42" s="18" t="str">
        <f t="shared" si="102"/>
        <v/>
      </c>
      <c r="W42" s="18" t="str">
        <f t="shared" si="102"/>
        <v/>
      </c>
      <c r="X42" s="18" t="str">
        <f t="shared" si="102"/>
        <v/>
      </c>
      <c r="Y42" s="18" t="str">
        <f t="shared" si="102"/>
        <v/>
      </c>
      <c r="Z42" s="18" t="str">
        <f t="shared" si="102"/>
        <v/>
      </c>
      <c r="AA42" s="18" t="str">
        <f t="shared" si="102"/>
        <v/>
      </c>
      <c r="AB42" s="18" t="str">
        <f t="shared" si="102"/>
        <v/>
      </c>
      <c r="AC42" s="18" t="str">
        <f t="shared" si="102"/>
        <v/>
      </c>
      <c r="AD42" s="18" t="str">
        <f t="shared" si="102"/>
        <v/>
      </c>
      <c r="AE42" s="18" t="str">
        <f t="shared" si="102"/>
        <v/>
      </c>
      <c r="AF42" s="18" t="str">
        <f t="shared" si="102"/>
        <v/>
      </c>
      <c r="AG42" s="18" t="str">
        <f t="shared" si="102"/>
        <v/>
      </c>
      <c r="AH42" s="18" t="str">
        <f t="shared" si="102"/>
        <v/>
      </c>
      <c r="AI42" s="18" t="str">
        <f t="shared" si="102"/>
        <v/>
      </c>
      <c r="AJ42" s="18" t="str">
        <f t="shared" si="102"/>
        <v/>
      </c>
      <c r="AK42" s="18" t="str">
        <f t="shared" si="102"/>
        <v/>
      </c>
      <c r="AL42" s="18" t="str">
        <f t="shared" si="102"/>
        <v/>
      </c>
      <c r="AM42" s="18" t="str">
        <f t="shared" si="102"/>
        <v/>
      </c>
      <c r="AN42" s="18" t="str">
        <f t="shared" si="102"/>
        <v/>
      </c>
      <c r="AO42" s="18" t="str">
        <f t="shared" si="102"/>
        <v/>
      </c>
      <c r="AP42" s="18" t="str">
        <f t="shared" si="102"/>
        <v/>
      </c>
      <c r="AQ42" s="18" t="str">
        <f t="shared" si="102"/>
        <v/>
      </c>
      <c r="AR42" s="18" t="str">
        <f t="shared" si="102"/>
        <v/>
      </c>
      <c r="AS42" s="18" t="str">
        <f t="shared" si="102"/>
        <v/>
      </c>
      <c r="AT42" s="18" t="str">
        <f t="shared" ref="AT42:BY42" si="103">IF($D42="","",IF(AND($J42&lt;=AT$4,$K42&gt;=AT$4),"x",""))</f>
        <v/>
      </c>
      <c r="AU42" s="18" t="str">
        <f t="shared" si="103"/>
        <v/>
      </c>
      <c r="AV42" s="18" t="str">
        <f t="shared" si="103"/>
        <v/>
      </c>
      <c r="AW42" s="18" t="str">
        <f t="shared" si="103"/>
        <v/>
      </c>
      <c r="AX42" s="18" t="str">
        <f t="shared" si="103"/>
        <v/>
      </c>
      <c r="AY42" s="18" t="str">
        <f t="shared" si="103"/>
        <v/>
      </c>
      <c r="AZ42" s="18" t="str">
        <f t="shared" si="103"/>
        <v/>
      </c>
      <c r="BA42" s="18" t="str">
        <f t="shared" si="103"/>
        <v/>
      </c>
      <c r="BB42" s="18" t="str">
        <f t="shared" si="103"/>
        <v/>
      </c>
      <c r="BC42" s="18" t="str">
        <f t="shared" si="103"/>
        <v/>
      </c>
      <c r="BD42" s="18" t="str">
        <f t="shared" si="103"/>
        <v/>
      </c>
      <c r="BE42" s="18" t="str">
        <f t="shared" si="103"/>
        <v/>
      </c>
      <c r="BF42" s="18" t="str">
        <f t="shared" si="103"/>
        <v/>
      </c>
      <c r="BG42" s="18" t="str">
        <f t="shared" si="103"/>
        <v/>
      </c>
      <c r="BH42" s="18" t="str">
        <f t="shared" si="103"/>
        <v/>
      </c>
      <c r="BI42" s="18" t="str">
        <f t="shared" si="103"/>
        <v/>
      </c>
      <c r="BJ42" s="18" t="str">
        <f t="shared" si="103"/>
        <v/>
      </c>
      <c r="BK42" s="18" t="str">
        <f t="shared" si="103"/>
        <v/>
      </c>
      <c r="BL42" s="18" t="str">
        <f t="shared" si="103"/>
        <v/>
      </c>
      <c r="BM42" s="18" t="str">
        <f t="shared" si="103"/>
        <v/>
      </c>
      <c r="BN42" s="18" t="str">
        <f t="shared" si="103"/>
        <v/>
      </c>
      <c r="BO42" s="18" t="str">
        <f t="shared" si="103"/>
        <v/>
      </c>
      <c r="BP42" s="18" t="str">
        <f t="shared" si="103"/>
        <v/>
      </c>
      <c r="BQ42" s="18" t="str">
        <f t="shared" si="103"/>
        <v/>
      </c>
      <c r="BR42" s="18" t="str">
        <f t="shared" si="103"/>
        <v/>
      </c>
      <c r="BS42" s="18" t="str">
        <f t="shared" si="103"/>
        <v/>
      </c>
      <c r="BT42" s="18" t="str">
        <f t="shared" si="103"/>
        <v/>
      </c>
      <c r="BU42" s="18" t="str">
        <f t="shared" si="103"/>
        <v/>
      </c>
      <c r="BV42" s="18" t="str">
        <f t="shared" si="103"/>
        <v/>
      </c>
      <c r="BW42" s="18" t="str">
        <f t="shared" si="103"/>
        <v/>
      </c>
      <c r="BX42" s="18" t="str">
        <f t="shared" si="103"/>
        <v/>
      </c>
      <c r="BY42" s="18" t="str">
        <f t="shared" si="103"/>
        <v/>
      </c>
      <c r="BZ42" s="18" t="str">
        <f t="shared" ref="BZ42:CZ42" si="104">IF($D42="","",IF(AND($J42&lt;=BZ$4,$K42&gt;=BZ$4),"x",""))</f>
        <v/>
      </c>
      <c r="CA42" s="18" t="str">
        <f t="shared" si="104"/>
        <v/>
      </c>
      <c r="CB42" s="18" t="str">
        <f t="shared" si="104"/>
        <v/>
      </c>
      <c r="CC42" s="18" t="str">
        <f t="shared" si="104"/>
        <v/>
      </c>
      <c r="CD42" s="18" t="str">
        <f t="shared" si="104"/>
        <v/>
      </c>
      <c r="CE42" s="18" t="str">
        <f t="shared" si="104"/>
        <v/>
      </c>
      <c r="CF42" s="18" t="str">
        <f t="shared" si="104"/>
        <v>x</v>
      </c>
      <c r="CG42" s="18" t="str">
        <f t="shared" si="104"/>
        <v>x</v>
      </c>
      <c r="CH42" s="18" t="str">
        <f t="shared" si="104"/>
        <v>x</v>
      </c>
      <c r="CI42" s="18" t="str">
        <f t="shared" si="104"/>
        <v>x</v>
      </c>
      <c r="CJ42" s="18" t="str">
        <f t="shared" si="104"/>
        <v>x</v>
      </c>
      <c r="CK42" s="18" t="str">
        <f t="shared" si="104"/>
        <v>x</v>
      </c>
      <c r="CL42" s="18" t="str">
        <f t="shared" si="104"/>
        <v>x</v>
      </c>
      <c r="CM42" s="18" t="str">
        <f t="shared" si="104"/>
        <v/>
      </c>
      <c r="CN42" s="18" t="str">
        <f t="shared" si="104"/>
        <v/>
      </c>
      <c r="CO42" s="18" t="str">
        <f t="shared" si="104"/>
        <v/>
      </c>
      <c r="CP42" s="18" t="str">
        <f t="shared" si="104"/>
        <v/>
      </c>
      <c r="CQ42" s="18" t="str">
        <f t="shared" si="104"/>
        <v/>
      </c>
      <c r="CR42" s="18" t="str">
        <f t="shared" si="104"/>
        <v/>
      </c>
      <c r="CS42" s="18" t="str">
        <f t="shared" si="104"/>
        <v/>
      </c>
      <c r="CT42" s="18" t="str">
        <f t="shared" si="104"/>
        <v/>
      </c>
      <c r="CU42" s="18" t="str">
        <f t="shared" si="104"/>
        <v/>
      </c>
      <c r="CV42" s="18" t="str">
        <f t="shared" si="104"/>
        <v/>
      </c>
      <c r="CW42" s="18" t="str">
        <f t="shared" si="104"/>
        <v/>
      </c>
      <c r="CX42" s="18" t="str">
        <f t="shared" si="104"/>
        <v/>
      </c>
      <c r="CY42" s="18" t="str">
        <f t="shared" si="104"/>
        <v/>
      </c>
      <c r="CZ42" s="18" t="str">
        <f t="shared" si="104"/>
        <v/>
      </c>
    </row>
    <row r="43" spans="1:104" ht="15" customHeight="1" x14ac:dyDescent="0.3">
      <c r="A43" s="3"/>
      <c r="B43" s="2"/>
      <c r="C43" s="3"/>
      <c r="D43" s="3"/>
      <c r="E43" s="3"/>
      <c r="F43" s="19"/>
      <c r="J43" s="20"/>
      <c r="K43" s="20"/>
      <c r="L43" s="21">
        <v>45978</v>
      </c>
      <c r="M43" s="21">
        <v>45984</v>
      </c>
      <c r="N43" s="18" t="str">
        <f t="shared" ref="N43:AS43" si="105">IF(AND($L43&lt;=N$4,$M43&gt;=N$4),"y","")</f>
        <v/>
      </c>
      <c r="O43" s="18" t="str">
        <f t="shared" si="105"/>
        <v/>
      </c>
      <c r="P43" s="18" t="str">
        <f t="shared" si="105"/>
        <v/>
      </c>
      <c r="Q43" s="18" t="str">
        <f t="shared" si="105"/>
        <v/>
      </c>
      <c r="R43" s="18" t="str">
        <f t="shared" si="105"/>
        <v/>
      </c>
      <c r="S43" s="18" t="str">
        <f t="shared" si="105"/>
        <v/>
      </c>
      <c r="T43" s="18" t="str">
        <f t="shared" si="105"/>
        <v/>
      </c>
      <c r="U43" s="18" t="str">
        <f t="shared" si="105"/>
        <v/>
      </c>
      <c r="V43" s="18" t="str">
        <f t="shared" si="105"/>
        <v/>
      </c>
      <c r="W43" s="18" t="str">
        <f t="shared" si="105"/>
        <v/>
      </c>
      <c r="X43" s="18" t="str">
        <f t="shared" si="105"/>
        <v/>
      </c>
      <c r="Y43" s="18" t="str">
        <f t="shared" si="105"/>
        <v/>
      </c>
      <c r="Z43" s="18" t="str">
        <f t="shared" si="105"/>
        <v/>
      </c>
      <c r="AA43" s="18" t="str">
        <f t="shared" si="105"/>
        <v/>
      </c>
      <c r="AB43" s="18" t="str">
        <f t="shared" si="105"/>
        <v/>
      </c>
      <c r="AC43" s="18" t="str">
        <f t="shared" si="105"/>
        <v/>
      </c>
      <c r="AD43" s="18" t="str">
        <f t="shared" si="105"/>
        <v/>
      </c>
      <c r="AE43" s="18" t="str">
        <f t="shared" si="105"/>
        <v/>
      </c>
      <c r="AF43" s="18" t="str">
        <f t="shared" si="105"/>
        <v/>
      </c>
      <c r="AG43" s="18" t="str">
        <f t="shared" si="105"/>
        <v/>
      </c>
      <c r="AH43" s="18" t="str">
        <f t="shared" si="105"/>
        <v/>
      </c>
      <c r="AI43" s="18" t="str">
        <f t="shared" si="105"/>
        <v/>
      </c>
      <c r="AJ43" s="18" t="str">
        <f t="shared" si="105"/>
        <v/>
      </c>
      <c r="AK43" s="18" t="str">
        <f t="shared" si="105"/>
        <v/>
      </c>
      <c r="AL43" s="18" t="str">
        <f t="shared" si="105"/>
        <v/>
      </c>
      <c r="AM43" s="18" t="str">
        <f t="shared" si="105"/>
        <v/>
      </c>
      <c r="AN43" s="18" t="str">
        <f t="shared" si="105"/>
        <v/>
      </c>
      <c r="AO43" s="18" t="str">
        <f t="shared" si="105"/>
        <v/>
      </c>
      <c r="AP43" s="18" t="str">
        <f t="shared" si="105"/>
        <v/>
      </c>
      <c r="AQ43" s="18" t="str">
        <f t="shared" si="105"/>
        <v/>
      </c>
      <c r="AR43" s="18" t="str">
        <f t="shared" si="105"/>
        <v/>
      </c>
      <c r="AS43" s="18" t="str">
        <f t="shared" si="105"/>
        <v/>
      </c>
      <c r="AT43" s="18" t="str">
        <f t="shared" ref="AT43:BY43" si="106">IF(AND($L43&lt;=AT$4,$M43&gt;=AT$4),"y","")</f>
        <v/>
      </c>
      <c r="AU43" s="18" t="str">
        <f t="shared" si="106"/>
        <v/>
      </c>
      <c r="AV43" s="18" t="str">
        <f t="shared" si="106"/>
        <v/>
      </c>
      <c r="AW43" s="18" t="str">
        <f t="shared" si="106"/>
        <v/>
      </c>
      <c r="AX43" s="18" t="str">
        <f t="shared" si="106"/>
        <v/>
      </c>
      <c r="AY43" s="18" t="str">
        <f t="shared" si="106"/>
        <v/>
      </c>
      <c r="AZ43" s="18" t="str">
        <f t="shared" si="106"/>
        <v/>
      </c>
      <c r="BA43" s="18" t="str">
        <f t="shared" si="106"/>
        <v/>
      </c>
      <c r="BB43" s="18" t="str">
        <f t="shared" si="106"/>
        <v/>
      </c>
      <c r="BC43" s="18" t="str">
        <f t="shared" si="106"/>
        <v/>
      </c>
      <c r="BD43" s="18" t="str">
        <f t="shared" si="106"/>
        <v/>
      </c>
      <c r="BE43" s="18" t="str">
        <f t="shared" si="106"/>
        <v/>
      </c>
      <c r="BF43" s="18" t="str">
        <f t="shared" si="106"/>
        <v/>
      </c>
      <c r="BG43" s="18" t="str">
        <f t="shared" si="106"/>
        <v/>
      </c>
      <c r="BH43" s="18" t="str">
        <f t="shared" si="106"/>
        <v/>
      </c>
      <c r="BI43" s="18" t="str">
        <f t="shared" si="106"/>
        <v/>
      </c>
      <c r="BJ43" s="18" t="str">
        <f t="shared" si="106"/>
        <v/>
      </c>
      <c r="BK43" s="18" t="str">
        <f t="shared" si="106"/>
        <v/>
      </c>
      <c r="BL43" s="18" t="str">
        <f t="shared" si="106"/>
        <v/>
      </c>
      <c r="BM43" s="18" t="str">
        <f t="shared" si="106"/>
        <v/>
      </c>
      <c r="BN43" s="18" t="str">
        <f t="shared" si="106"/>
        <v/>
      </c>
      <c r="BO43" s="18" t="str">
        <f t="shared" si="106"/>
        <v/>
      </c>
      <c r="BP43" s="18" t="str">
        <f t="shared" si="106"/>
        <v/>
      </c>
      <c r="BQ43" s="18" t="str">
        <f t="shared" si="106"/>
        <v/>
      </c>
      <c r="BR43" s="18" t="str">
        <f t="shared" si="106"/>
        <v/>
      </c>
      <c r="BS43" s="18" t="str">
        <f t="shared" si="106"/>
        <v/>
      </c>
      <c r="BT43" s="18" t="str">
        <f t="shared" si="106"/>
        <v/>
      </c>
      <c r="BU43" s="18" t="str">
        <f t="shared" si="106"/>
        <v/>
      </c>
      <c r="BV43" s="18" t="str">
        <f t="shared" si="106"/>
        <v/>
      </c>
      <c r="BW43" s="18" t="str">
        <f t="shared" si="106"/>
        <v/>
      </c>
      <c r="BX43" s="18" t="str">
        <f t="shared" si="106"/>
        <v/>
      </c>
      <c r="BY43" s="18" t="str">
        <f t="shared" si="106"/>
        <v/>
      </c>
      <c r="BZ43" s="18" t="str">
        <f t="shared" ref="BZ43:CZ43" si="107">IF(AND($L43&lt;=BZ$4,$M43&gt;=BZ$4),"y","")</f>
        <v/>
      </c>
      <c r="CA43" s="18" t="str">
        <f t="shared" si="107"/>
        <v/>
      </c>
      <c r="CB43" s="18" t="str">
        <f t="shared" si="107"/>
        <v/>
      </c>
      <c r="CC43" s="18" t="str">
        <f t="shared" si="107"/>
        <v/>
      </c>
      <c r="CD43" s="18" t="str">
        <f t="shared" si="107"/>
        <v/>
      </c>
      <c r="CE43" s="18" t="str">
        <f t="shared" si="107"/>
        <v/>
      </c>
      <c r="CF43" s="18" t="str">
        <f t="shared" si="107"/>
        <v>y</v>
      </c>
      <c r="CG43" s="18" t="str">
        <f t="shared" si="107"/>
        <v>y</v>
      </c>
      <c r="CH43" s="18" t="str">
        <f t="shared" si="107"/>
        <v>y</v>
      </c>
      <c r="CI43" s="18" t="str">
        <f t="shared" si="107"/>
        <v>y</v>
      </c>
      <c r="CJ43" s="18" t="str">
        <f t="shared" si="107"/>
        <v>y</v>
      </c>
      <c r="CK43" s="18" t="str">
        <f t="shared" si="107"/>
        <v>y</v>
      </c>
      <c r="CL43" s="18" t="str">
        <f t="shared" si="107"/>
        <v>y</v>
      </c>
      <c r="CM43" s="18" t="str">
        <f t="shared" si="107"/>
        <v/>
      </c>
      <c r="CN43" s="18" t="str">
        <f t="shared" si="107"/>
        <v/>
      </c>
      <c r="CO43" s="18" t="str">
        <f t="shared" si="107"/>
        <v/>
      </c>
      <c r="CP43" s="18" t="str">
        <f t="shared" si="107"/>
        <v/>
      </c>
      <c r="CQ43" s="18" t="str">
        <f t="shared" si="107"/>
        <v/>
      </c>
      <c r="CR43" s="18" t="str">
        <f t="shared" si="107"/>
        <v/>
      </c>
      <c r="CS43" s="18" t="str">
        <f t="shared" si="107"/>
        <v/>
      </c>
      <c r="CT43" s="18" t="str">
        <f t="shared" si="107"/>
        <v/>
      </c>
      <c r="CU43" s="18" t="str">
        <f t="shared" si="107"/>
        <v/>
      </c>
      <c r="CV43" s="18" t="str">
        <f t="shared" si="107"/>
        <v/>
      </c>
      <c r="CW43" s="18" t="str">
        <f t="shared" si="107"/>
        <v/>
      </c>
      <c r="CX43" s="18" t="str">
        <f t="shared" si="107"/>
        <v/>
      </c>
      <c r="CY43" s="18" t="str">
        <f t="shared" si="107"/>
        <v/>
      </c>
      <c r="CZ43" s="18" t="str">
        <f t="shared" si="107"/>
        <v/>
      </c>
    </row>
    <row r="44" spans="1:104" ht="14.25" customHeight="1" x14ac:dyDescent="0.3">
      <c r="A44" s="4" t="s">
        <v>99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10"/>
    </row>
    <row r="45" spans="1:104" ht="15" customHeight="1" x14ac:dyDescent="0.3">
      <c r="A45" s="3" t="s">
        <v>100</v>
      </c>
      <c r="B45" s="2" t="s">
        <v>94</v>
      </c>
      <c r="C45" s="3" t="s">
        <v>101</v>
      </c>
      <c r="D45" s="1" t="s">
        <v>102</v>
      </c>
      <c r="E45" s="1" t="s">
        <v>103</v>
      </c>
      <c r="F45" s="16" t="s">
        <v>104</v>
      </c>
      <c r="G45" s="15" t="s">
        <v>105</v>
      </c>
      <c r="H45" s="15" t="s">
        <v>105</v>
      </c>
      <c r="I45" s="15">
        <f>K45-J45+1</f>
        <v>7</v>
      </c>
      <c r="J45" s="17">
        <v>45985</v>
      </c>
      <c r="K45" s="17">
        <v>45991</v>
      </c>
      <c r="N45" s="18" t="str">
        <f t="shared" ref="N45:AS45" si="108">IF($D45="","",IF(AND($J45&lt;=N$4,$K45&gt;=N$4),"x",""))</f>
        <v/>
      </c>
      <c r="O45" s="18" t="str">
        <f t="shared" si="108"/>
        <v/>
      </c>
      <c r="P45" s="18" t="str">
        <f t="shared" si="108"/>
        <v/>
      </c>
      <c r="Q45" s="18" t="str">
        <f t="shared" si="108"/>
        <v/>
      </c>
      <c r="R45" s="18" t="str">
        <f t="shared" si="108"/>
        <v/>
      </c>
      <c r="S45" s="18" t="str">
        <f t="shared" si="108"/>
        <v/>
      </c>
      <c r="T45" s="18" t="str">
        <f t="shared" si="108"/>
        <v/>
      </c>
      <c r="U45" s="18" t="str">
        <f t="shared" si="108"/>
        <v/>
      </c>
      <c r="V45" s="18" t="str">
        <f t="shared" si="108"/>
        <v/>
      </c>
      <c r="W45" s="18" t="str">
        <f t="shared" si="108"/>
        <v/>
      </c>
      <c r="X45" s="18" t="str">
        <f t="shared" si="108"/>
        <v/>
      </c>
      <c r="Y45" s="18" t="str">
        <f t="shared" si="108"/>
        <v/>
      </c>
      <c r="Z45" s="18" t="str">
        <f t="shared" si="108"/>
        <v/>
      </c>
      <c r="AA45" s="18" t="str">
        <f t="shared" si="108"/>
        <v/>
      </c>
      <c r="AB45" s="18" t="str">
        <f t="shared" si="108"/>
        <v/>
      </c>
      <c r="AC45" s="18" t="str">
        <f t="shared" si="108"/>
        <v/>
      </c>
      <c r="AD45" s="18" t="str">
        <f t="shared" si="108"/>
        <v/>
      </c>
      <c r="AE45" s="18" t="str">
        <f t="shared" si="108"/>
        <v/>
      </c>
      <c r="AF45" s="18" t="str">
        <f t="shared" si="108"/>
        <v/>
      </c>
      <c r="AG45" s="18" t="str">
        <f t="shared" si="108"/>
        <v/>
      </c>
      <c r="AH45" s="18" t="str">
        <f t="shared" si="108"/>
        <v/>
      </c>
      <c r="AI45" s="18" t="str">
        <f t="shared" si="108"/>
        <v/>
      </c>
      <c r="AJ45" s="18" t="str">
        <f t="shared" si="108"/>
        <v/>
      </c>
      <c r="AK45" s="18" t="str">
        <f t="shared" si="108"/>
        <v/>
      </c>
      <c r="AL45" s="18" t="str">
        <f t="shared" si="108"/>
        <v/>
      </c>
      <c r="AM45" s="18" t="str">
        <f t="shared" si="108"/>
        <v/>
      </c>
      <c r="AN45" s="18" t="str">
        <f t="shared" si="108"/>
        <v/>
      </c>
      <c r="AO45" s="18" t="str">
        <f t="shared" si="108"/>
        <v/>
      </c>
      <c r="AP45" s="18" t="str">
        <f t="shared" si="108"/>
        <v/>
      </c>
      <c r="AQ45" s="18" t="str">
        <f t="shared" si="108"/>
        <v/>
      </c>
      <c r="AR45" s="18" t="str">
        <f t="shared" si="108"/>
        <v/>
      </c>
      <c r="AS45" s="18" t="str">
        <f t="shared" si="108"/>
        <v/>
      </c>
      <c r="AT45" s="18" t="str">
        <f t="shared" ref="AT45:BY45" si="109">IF($D45="","",IF(AND($J45&lt;=AT$4,$K45&gt;=AT$4),"x",""))</f>
        <v/>
      </c>
      <c r="AU45" s="18" t="str">
        <f t="shared" si="109"/>
        <v/>
      </c>
      <c r="AV45" s="18" t="str">
        <f t="shared" si="109"/>
        <v/>
      </c>
      <c r="AW45" s="18" t="str">
        <f t="shared" si="109"/>
        <v/>
      </c>
      <c r="AX45" s="18" t="str">
        <f t="shared" si="109"/>
        <v/>
      </c>
      <c r="AY45" s="18" t="str">
        <f t="shared" si="109"/>
        <v/>
      </c>
      <c r="AZ45" s="18" t="str">
        <f t="shared" si="109"/>
        <v/>
      </c>
      <c r="BA45" s="18" t="str">
        <f t="shared" si="109"/>
        <v/>
      </c>
      <c r="BB45" s="18" t="str">
        <f t="shared" si="109"/>
        <v/>
      </c>
      <c r="BC45" s="18" t="str">
        <f t="shared" si="109"/>
        <v/>
      </c>
      <c r="BD45" s="18" t="str">
        <f t="shared" si="109"/>
        <v/>
      </c>
      <c r="BE45" s="18" t="str">
        <f t="shared" si="109"/>
        <v/>
      </c>
      <c r="BF45" s="18" t="str">
        <f t="shared" si="109"/>
        <v/>
      </c>
      <c r="BG45" s="18" t="str">
        <f t="shared" si="109"/>
        <v/>
      </c>
      <c r="BH45" s="18" t="str">
        <f t="shared" si="109"/>
        <v/>
      </c>
      <c r="BI45" s="18" t="str">
        <f t="shared" si="109"/>
        <v/>
      </c>
      <c r="BJ45" s="18" t="str">
        <f t="shared" si="109"/>
        <v/>
      </c>
      <c r="BK45" s="18" t="str">
        <f t="shared" si="109"/>
        <v/>
      </c>
      <c r="BL45" s="18" t="str">
        <f t="shared" si="109"/>
        <v/>
      </c>
      <c r="BM45" s="18" t="str">
        <f t="shared" si="109"/>
        <v/>
      </c>
      <c r="BN45" s="18" t="str">
        <f t="shared" si="109"/>
        <v/>
      </c>
      <c r="BO45" s="18" t="str">
        <f t="shared" si="109"/>
        <v/>
      </c>
      <c r="BP45" s="18" t="str">
        <f t="shared" si="109"/>
        <v/>
      </c>
      <c r="BQ45" s="18" t="str">
        <f t="shared" si="109"/>
        <v/>
      </c>
      <c r="BR45" s="18" t="str">
        <f t="shared" si="109"/>
        <v/>
      </c>
      <c r="BS45" s="18" t="str">
        <f t="shared" si="109"/>
        <v/>
      </c>
      <c r="BT45" s="18" t="str">
        <f t="shared" si="109"/>
        <v/>
      </c>
      <c r="BU45" s="18" t="str">
        <f t="shared" si="109"/>
        <v/>
      </c>
      <c r="BV45" s="18" t="str">
        <f t="shared" si="109"/>
        <v/>
      </c>
      <c r="BW45" s="18" t="str">
        <f t="shared" si="109"/>
        <v/>
      </c>
      <c r="BX45" s="18" t="str">
        <f t="shared" si="109"/>
        <v/>
      </c>
      <c r="BY45" s="18" t="str">
        <f t="shared" si="109"/>
        <v/>
      </c>
      <c r="BZ45" s="18" t="str">
        <f t="shared" ref="BZ45:CZ45" si="110">IF($D45="","",IF(AND($J45&lt;=BZ$4,$K45&gt;=BZ$4),"x",""))</f>
        <v/>
      </c>
      <c r="CA45" s="18" t="str">
        <f t="shared" si="110"/>
        <v/>
      </c>
      <c r="CB45" s="18" t="str">
        <f t="shared" si="110"/>
        <v/>
      </c>
      <c r="CC45" s="18" t="str">
        <f t="shared" si="110"/>
        <v/>
      </c>
      <c r="CD45" s="18" t="str">
        <f t="shared" si="110"/>
        <v/>
      </c>
      <c r="CE45" s="18" t="str">
        <f t="shared" si="110"/>
        <v/>
      </c>
      <c r="CF45" s="18" t="str">
        <f t="shared" si="110"/>
        <v/>
      </c>
      <c r="CG45" s="18" t="str">
        <f t="shared" si="110"/>
        <v/>
      </c>
      <c r="CH45" s="18" t="str">
        <f t="shared" si="110"/>
        <v/>
      </c>
      <c r="CI45" s="18" t="str">
        <f t="shared" si="110"/>
        <v/>
      </c>
      <c r="CJ45" s="18" t="str">
        <f t="shared" si="110"/>
        <v/>
      </c>
      <c r="CK45" s="18" t="str">
        <f t="shared" si="110"/>
        <v/>
      </c>
      <c r="CL45" s="18" t="str">
        <f t="shared" si="110"/>
        <v/>
      </c>
      <c r="CM45" s="18" t="str">
        <f t="shared" si="110"/>
        <v>x</v>
      </c>
      <c r="CN45" s="18" t="str">
        <f t="shared" si="110"/>
        <v>x</v>
      </c>
      <c r="CO45" s="18" t="str">
        <f t="shared" si="110"/>
        <v>x</v>
      </c>
      <c r="CP45" s="18" t="str">
        <f t="shared" si="110"/>
        <v>x</v>
      </c>
      <c r="CQ45" s="18" t="str">
        <f t="shared" si="110"/>
        <v>x</v>
      </c>
      <c r="CR45" s="18" t="str">
        <f t="shared" si="110"/>
        <v>x</v>
      </c>
      <c r="CS45" s="18" t="str">
        <f t="shared" si="110"/>
        <v>x</v>
      </c>
      <c r="CT45" s="18" t="str">
        <f t="shared" si="110"/>
        <v/>
      </c>
      <c r="CU45" s="18" t="str">
        <f t="shared" si="110"/>
        <v/>
      </c>
      <c r="CV45" s="18" t="str">
        <f t="shared" si="110"/>
        <v/>
      </c>
      <c r="CW45" s="18" t="str">
        <f t="shared" si="110"/>
        <v/>
      </c>
      <c r="CX45" s="18" t="str">
        <f t="shared" si="110"/>
        <v/>
      </c>
      <c r="CY45" s="18" t="str">
        <f t="shared" si="110"/>
        <v/>
      </c>
      <c r="CZ45" s="18" t="str">
        <f t="shared" si="110"/>
        <v/>
      </c>
    </row>
    <row r="46" spans="1:104" ht="15" customHeight="1" x14ac:dyDescent="0.3">
      <c r="A46" s="3"/>
      <c r="B46" s="2"/>
      <c r="C46" s="3"/>
      <c r="D46" s="3"/>
      <c r="E46" s="3"/>
      <c r="F46" s="19"/>
      <c r="J46" s="20"/>
      <c r="K46" s="20"/>
      <c r="L46" s="21">
        <v>45985</v>
      </c>
      <c r="M46" s="21">
        <v>45991</v>
      </c>
      <c r="N46" s="18" t="str">
        <f t="shared" ref="N46:AS46" si="111">IF(AND($L46&lt;=N$4,$M46&gt;=N$4),"y","")</f>
        <v/>
      </c>
      <c r="O46" s="18" t="str">
        <f t="shared" si="111"/>
        <v/>
      </c>
      <c r="P46" s="18" t="str">
        <f t="shared" si="111"/>
        <v/>
      </c>
      <c r="Q46" s="18" t="str">
        <f t="shared" si="111"/>
        <v/>
      </c>
      <c r="R46" s="18" t="str">
        <f t="shared" si="111"/>
        <v/>
      </c>
      <c r="S46" s="18" t="str">
        <f t="shared" si="111"/>
        <v/>
      </c>
      <c r="T46" s="18" t="str">
        <f t="shared" si="111"/>
        <v/>
      </c>
      <c r="U46" s="18" t="str">
        <f t="shared" si="111"/>
        <v/>
      </c>
      <c r="V46" s="18" t="str">
        <f t="shared" si="111"/>
        <v/>
      </c>
      <c r="W46" s="18" t="str">
        <f t="shared" si="111"/>
        <v/>
      </c>
      <c r="X46" s="18" t="str">
        <f t="shared" si="111"/>
        <v/>
      </c>
      <c r="Y46" s="18" t="str">
        <f t="shared" si="111"/>
        <v/>
      </c>
      <c r="Z46" s="18" t="str">
        <f t="shared" si="111"/>
        <v/>
      </c>
      <c r="AA46" s="18" t="str">
        <f t="shared" si="111"/>
        <v/>
      </c>
      <c r="AB46" s="18" t="str">
        <f t="shared" si="111"/>
        <v/>
      </c>
      <c r="AC46" s="18" t="str">
        <f t="shared" si="111"/>
        <v/>
      </c>
      <c r="AD46" s="18" t="str">
        <f t="shared" si="111"/>
        <v/>
      </c>
      <c r="AE46" s="18" t="str">
        <f t="shared" si="111"/>
        <v/>
      </c>
      <c r="AF46" s="18" t="str">
        <f t="shared" si="111"/>
        <v/>
      </c>
      <c r="AG46" s="18" t="str">
        <f t="shared" si="111"/>
        <v/>
      </c>
      <c r="AH46" s="18" t="str">
        <f t="shared" si="111"/>
        <v/>
      </c>
      <c r="AI46" s="18" t="str">
        <f t="shared" si="111"/>
        <v/>
      </c>
      <c r="AJ46" s="18" t="str">
        <f t="shared" si="111"/>
        <v/>
      </c>
      <c r="AK46" s="18" t="str">
        <f t="shared" si="111"/>
        <v/>
      </c>
      <c r="AL46" s="18" t="str">
        <f t="shared" si="111"/>
        <v/>
      </c>
      <c r="AM46" s="18" t="str">
        <f t="shared" si="111"/>
        <v/>
      </c>
      <c r="AN46" s="18" t="str">
        <f t="shared" si="111"/>
        <v/>
      </c>
      <c r="AO46" s="18" t="str">
        <f t="shared" si="111"/>
        <v/>
      </c>
      <c r="AP46" s="18" t="str">
        <f t="shared" si="111"/>
        <v/>
      </c>
      <c r="AQ46" s="18" t="str">
        <f t="shared" si="111"/>
        <v/>
      </c>
      <c r="AR46" s="18" t="str">
        <f t="shared" si="111"/>
        <v/>
      </c>
      <c r="AS46" s="18" t="str">
        <f t="shared" si="111"/>
        <v/>
      </c>
      <c r="AT46" s="18" t="str">
        <f t="shared" ref="AT46:BY46" si="112">IF(AND($L46&lt;=AT$4,$M46&gt;=AT$4),"y","")</f>
        <v/>
      </c>
      <c r="AU46" s="18" t="str">
        <f t="shared" si="112"/>
        <v/>
      </c>
      <c r="AV46" s="18" t="str">
        <f t="shared" si="112"/>
        <v/>
      </c>
      <c r="AW46" s="18" t="str">
        <f t="shared" si="112"/>
        <v/>
      </c>
      <c r="AX46" s="18" t="str">
        <f t="shared" si="112"/>
        <v/>
      </c>
      <c r="AY46" s="18" t="str">
        <f t="shared" si="112"/>
        <v/>
      </c>
      <c r="AZ46" s="18" t="str">
        <f t="shared" si="112"/>
        <v/>
      </c>
      <c r="BA46" s="18" t="str">
        <f t="shared" si="112"/>
        <v/>
      </c>
      <c r="BB46" s="18" t="str">
        <f t="shared" si="112"/>
        <v/>
      </c>
      <c r="BC46" s="18" t="str">
        <f t="shared" si="112"/>
        <v/>
      </c>
      <c r="BD46" s="18" t="str">
        <f t="shared" si="112"/>
        <v/>
      </c>
      <c r="BE46" s="18" t="str">
        <f t="shared" si="112"/>
        <v/>
      </c>
      <c r="BF46" s="18" t="str">
        <f t="shared" si="112"/>
        <v/>
      </c>
      <c r="BG46" s="18" t="str">
        <f t="shared" si="112"/>
        <v/>
      </c>
      <c r="BH46" s="18" t="str">
        <f t="shared" si="112"/>
        <v/>
      </c>
      <c r="BI46" s="18" t="str">
        <f t="shared" si="112"/>
        <v/>
      </c>
      <c r="BJ46" s="18" t="str">
        <f t="shared" si="112"/>
        <v/>
      </c>
      <c r="BK46" s="18" t="str">
        <f t="shared" si="112"/>
        <v/>
      </c>
      <c r="BL46" s="18" t="str">
        <f t="shared" si="112"/>
        <v/>
      </c>
      <c r="BM46" s="18" t="str">
        <f t="shared" si="112"/>
        <v/>
      </c>
      <c r="BN46" s="18" t="str">
        <f t="shared" si="112"/>
        <v/>
      </c>
      <c r="BO46" s="18" t="str">
        <f t="shared" si="112"/>
        <v/>
      </c>
      <c r="BP46" s="18" t="str">
        <f t="shared" si="112"/>
        <v/>
      </c>
      <c r="BQ46" s="18" t="str">
        <f t="shared" si="112"/>
        <v/>
      </c>
      <c r="BR46" s="18" t="str">
        <f t="shared" si="112"/>
        <v/>
      </c>
      <c r="BS46" s="18" t="str">
        <f t="shared" si="112"/>
        <v/>
      </c>
      <c r="BT46" s="18" t="str">
        <f t="shared" si="112"/>
        <v/>
      </c>
      <c r="BU46" s="18" t="str">
        <f t="shared" si="112"/>
        <v/>
      </c>
      <c r="BV46" s="18" t="str">
        <f t="shared" si="112"/>
        <v/>
      </c>
      <c r="BW46" s="18" t="str">
        <f t="shared" si="112"/>
        <v/>
      </c>
      <c r="BX46" s="18" t="str">
        <f t="shared" si="112"/>
        <v/>
      </c>
      <c r="BY46" s="18" t="str">
        <f t="shared" si="112"/>
        <v/>
      </c>
      <c r="BZ46" s="18" t="str">
        <f t="shared" ref="BZ46:CZ46" si="113">IF(AND($L46&lt;=BZ$4,$M46&gt;=BZ$4),"y","")</f>
        <v/>
      </c>
      <c r="CA46" s="18" t="str">
        <f t="shared" si="113"/>
        <v/>
      </c>
      <c r="CB46" s="18" t="str">
        <f t="shared" si="113"/>
        <v/>
      </c>
      <c r="CC46" s="18" t="str">
        <f t="shared" si="113"/>
        <v/>
      </c>
      <c r="CD46" s="18" t="str">
        <f t="shared" si="113"/>
        <v/>
      </c>
      <c r="CE46" s="18" t="str">
        <f t="shared" si="113"/>
        <v/>
      </c>
      <c r="CF46" s="18" t="str">
        <f t="shared" si="113"/>
        <v/>
      </c>
      <c r="CG46" s="18" t="str">
        <f t="shared" si="113"/>
        <v/>
      </c>
      <c r="CH46" s="18" t="str">
        <f t="shared" si="113"/>
        <v/>
      </c>
      <c r="CI46" s="18" t="str">
        <f t="shared" si="113"/>
        <v/>
      </c>
      <c r="CJ46" s="18" t="str">
        <f t="shared" si="113"/>
        <v/>
      </c>
      <c r="CK46" s="18" t="str">
        <f t="shared" si="113"/>
        <v/>
      </c>
      <c r="CL46" s="18" t="str">
        <f t="shared" si="113"/>
        <v/>
      </c>
      <c r="CM46" s="18" t="str">
        <f t="shared" si="113"/>
        <v>y</v>
      </c>
      <c r="CN46" s="18" t="str">
        <f t="shared" si="113"/>
        <v>y</v>
      </c>
      <c r="CO46" s="18" t="str">
        <f t="shared" si="113"/>
        <v>y</v>
      </c>
      <c r="CP46" s="18" t="str">
        <f t="shared" si="113"/>
        <v>y</v>
      </c>
      <c r="CQ46" s="18" t="str">
        <f t="shared" si="113"/>
        <v>y</v>
      </c>
      <c r="CR46" s="18" t="str">
        <f t="shared" si="113"/>
        <v>y</v>
      </c>
      <c r="CS46" s="18" t="str">
        <f t="shared" si="113"/>
        <v>y</v>
      </c>
      <c r="CT46" s="18" t="str">
        <f t="shared" si="113"/>
        <v/>
      </c>
      <c r="CU46" s="18" t="str">
        <f t="shared" si="113"/>
        <v/>
      </c>
      <c r="CV46" s="18" t="str">
        <f t="shared" si="113"/>
        <v/>
      </c>
      <c r="CW46" s="18" t="str">
        <f t="shared" si="113"/>
        <v/>
      </c>
      <c r="CX46" s="18" t="str">
        <f t="shared" si="113"/>
        <v/>
      </c>
      <c r="CY46" s="18" t="str">
        <f t="shared" si="113"/>
        <v/>
      </c>
      <c r="CZ46" s="18" t="str">
        <f t="shared" si="113"/>
        <v/>
      </c>
    </row>
    <row r="47" spans="1:104" ht="15" customHeight="1" x14ac:dyDescent="0.3">
      <c r="A47" s="3" t="s">
        <v>106</v>
      </c>
      <c r="B47" s="2" t="s">
        <v>94</v>
      </c>
      <c r="C47" s="3" t="s">
        <v>101</v>
      </c>
      <c r="D47" s="1" t="s">
        <v>107</v>
      </c>
      <c r="E47" s="1" t="s">
        <v>108</v>
      </c>
      <c r="F47" s="16" t="s">
        <v>20</v>
      </c>
      <c r="G47" s="15" t="s">
        <v>105</v>
      </c>
      <c r="H47" s="15" t="s">
        <v>105</v>
      </c>
      <c r="I47" s="15">
        <f>K47-J47+1</f>
        <v>7</v>
      </c>
      <c r="J47" s="17">
        <v>45985</v>
      </c>
      <c r="K47" s="17">
        <v>45991</v>
      </c>
      <c r="N47" s="18" t="str">
        <f t="shared" ref="N47:AS47" si="114">IF($D47="","",IF(AND($J47&lt;=N$4,$K47&gt;=N$4),"x",""))</f>
        <v/>
      </c>
      <c r="O47" s="18" t="str">
        <f t="shared" si="114"/>
        <v/>
      </c>
      <c r="P47" s="18" t="str">
        <f t="shared" si="114"/>
        <v/>
      </c>
      <c r="Q47" s="18" t="str">
        <f t="shared" si="114"/>
        <v/>
      </c>
      <c r="R47" s="18" t="str">
        <f t="shared" si="114"/>
        <v/>
      </c>
      <c r="S47" s="18" t="str">
        <f t="shared" si="114"/>
        <v/>
      </c>
      <c r="T47" s="18" t="str">
        <f t="shared" si="114"/>
        <v/>
      </c>
      <c r="U47" s="18" t="str">
        <f t="shared" si="114"/>
        <v/>
      </c>
      <c r="V47" s="18" t="str">
        <f t="shared" si="114"/>
        <v/>
      </c>
      <c r="W47" s="18" t="str">
        <f t="shared" si="114"/>
        <v/>
      </c>
      <c r="X47" s="18" t="str">
        <f t="shared" si="114"/>
        <v/>
      </c>
      <c r="Y47" s="18" t="str">
        <f t="shared" si="114"/>
        <v/>
      </c>
      <c r="Z47" s="18" t="str">
        <f t="shared" si="114"/>
        <v/>
      </c>
      <c r="AA47" s="18" t="str">
        <f t="shared" si="114"/>
        <v/>
      </c>
      <c r="AB47" s="18" t="str">
        <f t="shared" si="114"/>
        <v/>
      </c>
      <c r="AC47" s="18" t="str">
        <f t="shared" si="114"/>
        <v/>
      </c>
      <c r="AD47" s="18" t="str">
        <f t="shared" si="114"/>
        <v/>
      </c>
      <c r="AE47" s="18" t="str">
        <f t="shared" si="114"/>
        <v/>
      </c>
      <c r="AF47" s="18" t="str">
        <f t="shared" si="114"/>
        <v/>
      </c>
      <c r="AG47" s="18" t="str">
        <f t="shared" si="114"/>
        <v/>
      </c>
      <c r="AH47" s="18" t="str">
        <f t="shared" si="114"/>
        <v/>
      </c>
      <c r="AI47" s="18" t="str">
        <f t="shared" si="114"/>
        <v/>
      </c>
      <c r="AJ47" s="18" t="str">
        <f t="shared" si="114"/>
        <v/>
      </c>
      <c r="AK47" s="18" t="str">
        <f t="shared" si="114"/>
        <v/>
      </c>
      <c r="AL47" s="18" t="str">
        <f t="shared" si="114"/>
        <v/>
      </c>
      <c r="AM47" s="18" t="str">
        <f t="shared" si="114"/>
        <v/>
      </c>
      <c r="AN47" s="18" t="str">
        <f t="shared" si="114"/>
        <v/>
      </c>
      <c r="AO47" s="18" t="str">
        <f t="shared" si="114"/>
        <v/>
      </c>
      <c r="AP47" s="18" t="str">
        <f t="shared" si="114"/>
        <v/>
      </c>
      <c r="AQ47" s="18" t="str">
        <f t="shared" si="114"/>
        <v/>
      </c>
      <c r="AR47" s="18" t="str">
        <f t="shared" si="114"/>
        <v/>
      </c>
      <c r="AS47" s="18" t="str">
        <f t="shared" si="114"/>
        <v/>
      </c>
      <c r="AT47" s="18" t="str">
        <f t="shared" ref="AT47:BY47" si="115">IF($D47="","",IF(AND($J47&lt;=AT$4,$K47&gt;=AT$4),"x",""))</f>
        <v/>
      </c>
      <c r="AU47" s="18" t="str">
        <f t="shared" si="115"/>
        <v/>
      </c>
      <c r="AV47" s="18" t="str">
        <f t="shared" si="115"/>
        <v/>
      </c>
      <c r="AW47" s="18" t="str">
        <f t="shared" si="115"/>
        <v/>
      </c>
      <c r="AX47" s="18" t="str">
        <f t="shared" si="115"/>
        <v/>
      </c>
      <c r="AY47" s="18" t="str">
        <f t="shared" si="115"/>
        <v/>
      </c>
      <c r="AZ47" s="18" t="str">
        <f t="shared" si="115"/>
        <v/>
      </c>
      <c r="BA47" s="18" t="str">
        <f t="shared" si="115"/>
        <v/>
      </c>
      <c r="BB47" s="18" t="str">
        <f t="shared" si="115"/>
        <v/>
      </c>
      <c r="BC47" s="18" t="str">
        <f t="shared" si="115"/>
        <v/>
      </c>
      <c r="BD47" s="18" t="str">
        <f t="shared" si="115"/>
        <v/>
      </c>
      <c r="BE47" s="18" t="str">
        <f t="shared" si="115"/>
        <v/>
      </c>
      <c r="BF47" s="18" t="str">
        <f t="shared" si="115"/>
        <v/>
      </c>
      <c r="BG47" s="18" t="str">
        <f t="shared" si="115"/>
        <v/>
      </c>
      <c r="BH47" s="18" t="str">
        <f t="shared" si="115"/>
        <v/>
      </c>
      <c r="BI47" s="18" t="str">
        <f t="shared" si="115"/>
        <v/>
      </c>
      <c r="BJ47" s="18" t="str">
        <f t="shared" si="115"/>
        <v/>
      </c>
      <c r="BK47" s="18" t="str">
        <f t="shared" si="115"/>
        <v/>
      </c>
      <c r="BL47" s="18" t="str">
        <f t="shared" si="115"/>
        <v/>
      </c>
      <c r="BM47" s="18" t="str">
        <f t="shared" si="115"/>
        <v/>
      </c>
      <c r="BN47" s="18" t="str">
        <f t="shared" si="115"/>
        <v/>
      </c>
      <c r="BO47" s="18" t="str">
        <f t="shared" si="115"/>
        <v/>
      </c>
      <c r="BP47" s="18" t="str">
        <f t="shared" si="115"/>
        <v/>
      </c>
      <c r="BQ47" s="18" t="str">
        <f t="shared" si="115"/>
        <v/>
      </c>
      <c r="BR47" s="18" t="str">
        <f t="shared" si="115"/>
        <v/>
      </c>
      <c r="BS47" s="18" t="str">
        <f t="shared" si="115"/>
        <v/>
      </c>
      <c r="BT47" s="18" t="str">
        <f t="shared" si="115"/>
        <v/>
      </c>
      <c r="BU47" s="18" t="str">
        <f t="shared" si="115"/>
        <v/>
      </c>
      <c r="BV47" s="18" t="str">
        <f t="shared" si="115"/>
        <v/>
      </c>
      <c r="BW47" s="18" t="str">
        <f t="shared" si="115"/>
        <v/>
      </c>
      <c r="BX47" s="18" t="str">
        <f t="shared" si="115"/>
        <v/>
      </c>
      <c r="BY47" s="18" t="str">
        <f t="shared" si="115"/>
        <v/>
      </c>
      <c r="BZ47" s="18" t="str">
        <f t="shared" ref="BZ47:CZ47" si="116">IF($D47="","",IF(AND($J47&lt;=BZ$4,$K47&gt;=BZ$4),"x",""))</f>
        <v/>
      </c>
      <c r="CA47" s="18" t="str">
        <f t="shared" si="116"/>
        <v/>
      </c>
      <c r="CB47" s="18" t="str">
        <f t="shared" si="116"/>
        <v/>
      </c>
      <c r="CC47" s="18" t="str">
        <f t="shared" si="116"/>
        <v/>
      </c>
      <c r="CD47" s="18" t="str">
        <f t="shared" si="116"/>
        <v/>
      </c>
      <c r="CE47" s="18" t="str">
        <f t="shared" si="116"/>
        <v/>
      </c>
      <c r="CF47" s="18" t="str">
        <f t="shared" si="116"/>
        <v/>
      </c>
      <c r="CG47" s="18" t="str">
        <f t="shared" si="116"/>
        <v/>
      </c>
      <c r="CH47" s="18" t="str">
        <f t="shared" si="116"/>
        <v/>
      </c>
      <c r="CI47" s="18" t="str">
        <f t="shared" si="116"/>
        <v/>
      </c>
      <c r="CJ47" s="18" t="str">
        <f t="shared" si="116"/>
        <v/>
      </c>
      <c r="CK47" s="18" t="str">
        <f t="shared" si="116"/>
        <v/>
      </c>
      <c r="CL47" s="18" t="str">
        <f t="shared" si="116"/>
        <v/>
      </c>
      <c r="CM47" s="18" t="str">
        <f t="shared" si="116"/>
        <v>x</v>
      </c>
      <c r="CN47" s="18" t="str">
        <f t="shared" si="116"/>
        <v>x</v>
      </c>
      <c r="CO47" s="18" t="str">
        <f t="shared" si="116"/>
        <v>x</v>
      </c>
      <c r="CP47" s="18" t="str">
        <f t="shared" si="116"/>
        <v>x</v>
      </c>
      <c r="CQ47" s="18" t="str">
        <f t="shared" si="116"/>
        <v>x</v>
      </c>
      <c r="CR47" s="18" t="str">
        <f t="shared" si="116"/>
        <v>x</v>
      </c>
      <c r="CS47" s="18" t="str">
        <f t="shared" si="116"/>
        <v>x</v>
      </c>
      <c r="CT47" s="18" t="str">
        <f t="shared" si="116"/>
        <v/>
      </c>
      <c r="CU47" s="18" t="str">
        <f t="shared" si="116"/>
        <v/>
      </c>
      <c r="CV47" s="18" t="str">
        <f t="shared" si="116"/>
        <v/>
      </c>
      <c r="CW47" s="18" t="str">
        <f t="shared" si="116"/>
        <v/>
      </c>
      <c r="CX47" s="18" t="str">
        <f t="shared" si="116"/>
        <v/>
      </c>
      <c r="CY47" s="18" t="str">
        <f t="shared" si="116"/>
        <v/>
      </c>
      <c r="CZ47" s="18" t="str">
        <f t="shared" si="116"/>
        <v/>
      </c>
    </row>
    <row r="48" spans="1:104" ht="15" customHeight="1" x14ac:dyDescent="0.3">
      <c r="A48" s="3"/>
      <c r="B48" s="2"/>
      <c r="C48" s="3"/>
      <c r="D48" s="3"/>
      <c r="E48" s="3"/>
      <c r="F48" s="19"/>
      <c r="J48" s="20"/>
      <c r="K48" s="20"/>
      <c r="L48" s="21">
        <v>45985</v>
      </c>
      <c r="M48" s="21">
        <v>45991</v>
      </c>
      <c r="N48" s="18" t="str">
        <f t="shared" ref="N48:AS48" si="117">IF(AND($L48&lt;=N$4,$M48&gt;=N$4),"y","")</f>
        <v/>
      </c>
      <c r="O48" s="18" t="str">
        <f t="shared" si="117"/>
        <v/>
      </c>
      <c r="P48" s="18" t="str">
        <f t="shared" si="117"/>
        <v/>
      </c>
      <c r="Q48" s="18" t="str">
        <f t="shared" si="117"/>
        <v/>
      </c>
      <c r="R48" s="18" t="str">
        <f t="shared" si="117"/>
        <v/>
      </c>
      <c r="S48" s="18" t="str">
        <f t="shared" si="117"/>
        <v/>
      </c>
      <c r="T48" s="18" t="str">
        <f t="shared" si="117"/>
        <v/>
      </c>
      <c r="U48" s="18" t="str">
        <f t="shared" si="117"/>
        <v/>
      </c>
      <c r="V48" s="18" t="str">
        <f t="shared" si="117"/>
        <v/>
      </c>
      <c r="W48" s="18" t="str">
        <f t="shared" si="117"/>
        <v/>
      </c>
      <c r="X48" s="18" t="str">
        <f t="shared" si="117"/>
        <v/>
      </c>
      <c r="Y48" s="18" t="str">
        <f t="shared" si="117"/>
        <v/>
      </c>
      <c r="Z48" s="18" t="str">
        <f t="shared" si="117"/>
        <v/>
      </c>
      <c r="AA48" s="18" t="str">
        <f t="shared" si="117"/>
        <v/>
      </c>
      <c r="AB48" s="18" t="str">
        <f t="shared" si="117"/>
        <v/>
      </c>
      <c r="AC48" s="18" t="str">
        <f t="shared" si="117"/>
        <v/>
      </c>
      <c r="AD48" s="18" t="str">
        <f t="shared" si="117"/>
        <v/>
      </c>
      <c r="AE48" s="18" t="str">
        <f t="shared" si="117"/>
        <v/>
      </c>
      <c r="AF48" s="18" t="str">
        <f t="shared" si="117"/>
        <v/>
      </c>
      <c r="AG48" s="18" t="str">
        <f t="shared" si="117"/>
        <v/>
      </c>
      <c r="AH48" s="18" t="str">
        <f t="shared" si="117"/>
        <v/>
      </c>
      <c r="AI48" s="18" t="str">
        <f t="shared" si="117"/>
        <v/>
      </c>
      <c r="AJ48" s="18" t="str">
        <f t="shared" si="117"/>
        <v/>
      </c>
      <c r="AK48" s="18" t="str">
        <f t="shared" si="117"/>
        <v/>
      </c>
      <c r="AL48" s="18" t="str">
        <f t="shared" si="117"/>
        <v/>
      </c>
      <c r="AM48" s="18" t="str">
        <f t="shared" si="117"/>
        <v/>
      </c>
      <c r="AN48" s="18" t="str">
        <f t="shared" si="117"/>
        <v/>
      </c>
      <c r="AO48" s="18" t="str">
        <f t="shared" si="117"/>
        <v/>
      </c>
      <c r="AP48" s="18" t="str">
        <f t="shared" si="117"/>
        <v/>
      </c>
      <c r="AQ48" s="18" t="str">
        <f t="shared" si="117"/>
        <v/>
      </c>
      <c r="AR48" s="18" t="str">
        <f t="shared" si="117"/>
        <v/>
      </c>
      <c r="AS48" s="18" t="str">
        <f t="shared" si="117"/>
        <v/>
      </c>
      <c r="AT48" s="18" t="str">
        <f t="shared" ref="AT48:BY48" si="118">IF(AND($L48&lt;=AT$4,$M48&gt;=AT$4),"y","")</f>
        <v/>
      </c>
      <c r="AU48" s="18" t="str">
        <f t="shared" si="118"/>
        <v/>
      </c>
      <c r="AV48" s="18" t="str">
        <f t="shared" si="118"/>
        <v/>
      </c>
      <c r="AW48" s="18" t="str">
        <f t="shared" si="118"/>
        <v/>
      </c>
      <c r="AX48" s="18" t="str">
        <f t="shared" si="118"/>
        <v/>
      </c>
      <c r="AY48" s="18" t="str">
        <f t="shared" si="118"/>
        <v/>
      </c>
      <c r="AZ48" s="18" t="str">
        <f t="shared" si="118"/>
        <v/>
      </c>
      <c r="BA48" s="18" t="str">
        <f t="shared" si="118"/>
        <v/>
      </c>
      <c r="BB48" s="18" t="str">
        <f t="shared" si="118"/>
        <v/>
      </c>
      <c r="BC48" s="18" t="str">
        <f t="shared" si="118"/>
        <v/>
      </c>
      <c r="BD48" s="18" t="str">
        <f t="shared" si="118"/>
        <v/>
      </c>
      <c r="BE48" s="18" t="str">
        <f t="shared" si="118"/>
        <v/>
      </c>
      <c r="BF48" s="18" t="str">
        <f t="shared" si="118"/>
        <v/>
      </c>
      <c r="BG48" s="18" t="str">
        <f t="shared" si="118"/>
        <v/>
      </c>
      <c r="BH48" s="18" t="str">
        <f t="shared" si="118"/>
        <v/>
      </c>
      <c r="BI48" s="18" t="str">
        <f t="shared" si="118"/>
        <v/>
      </c>
      <c r="BJ48" s="18" t="str">
        <f t="shared" si="118"/>
        <v/>
      </c>
      <c r="BK48" s="18" t="str">
        <f t="shared" si="118"/>
        <v/>
      </c>
      <c r="BL48" s="18" t="str">
        <f t="shared" si="118"/>
        <v/>
      </c>
      <c r="BM48" s="18" t="str">
        <f t="shared" si="118"/>
        <v/>
      </c>
      <c r="BN48" s="18" t="str">
        <f t="shared" si="118"/>
        <v/>
      </c>
      <c r="BO48" s="18" t="str">
        <f t="shared" si="118"/>
        <v/>
      </c>
      <c r="BP48" s="18" t="str">
        <f t="shared" si="118"/>
        <v/>
      </c>
      <c r="BQ48" s="18" t="str">
        <f t="shared" si="118"/>
        <v/>
      </c>
      <c r="BR48" s="18" t="str">
        <f t="shared" si="118"/>
        <v/>
      </c>
      <c r="BS48" s="18" t="str">
        <f t="shared" si="118"/>
        <v/>
      </c>
      <c r="BT48" s="18" t="str">
        <f t="shared" si="118"/>
        <v/>
      </c>
      <c r="BU48" s="18" t="str">
        <f t="shared" si="118"/>
        <v/>
      </c>
      <c r="BV48" s="18" t="str">
        <f t="shared" si="118"/>
        <v/>
      </c>
      <c r="BW48" s="18" t="str">
        <f t="shared" si="118"/>
        <v/>
      </c>
      <c r="BX48" s="18" t="str">
        <f t="shared" si="118"/>
        <v/>
      </c>
      <c r="BY48" s="18" t="str">
        <f t="shared" si="118"/>
        <v/>
      </c>
      <c r="BZ48" s="18" t="str">
        <f t="shared" ref="BZ48:CZ48" si="119">IF(AND($L48&lt;=BZ$4,$M48&gt;=BZ$4),"y","")</f>
        <v/>
      </c>
      <c r="CA48" s="18" t="str">
        <f t="shared" si="119"/>
        <v/>
      </c>
      <c r="CB48" s="18" t="str">
        <f t="shared" si="119"/>
        <v/>
      </c>
      <c r="CC48" s="18" t="str">
        <f t="shared" si="119"/>
        <v/>
      </c>
      <c r="CD48" s="18" t="str">
        <f t="shared" si="119"/>
        <v/>
      </c>
      <c r="CE48" s="18" t="str">
        <f t="shared" si="119"/>
        <v/>
      </c>
      <c r="CF48" s="18" t="str">
        <f t="shared" si="119"/>
        <v/>
      </c>
      <c r="CG48" s="18" t="str">
        <f t="shared" si="119"/>
        <v/>
      </c>
      <c r="CH48" s="18" t="str">
        <f t="shared" si="119"/>
        <v/>
      </c>
      <c r="CI48" s="18" t="str">
        <f t="shared" si="119"/>
        <v/>
      </c>
      <c r="CJ48" s="18" t="str">
        <f t="shared" si="119"/>
        <v/>
      </c>
      <c r="CK48" s="18" t="str">
        <f t="shared" si="119"/>
        <v/>
      </c>
      <c r="CL48" s="18" t="str">
        <f t="shared" si="119"/>
        <v/>
      </c>
      <c r="CM48" s="18" t="str">
        <f t="shared" si="119"/>
        <v>y</v>
      </c>
      <c r="CN48" s="18" t="str">
        <f t="shared" si="119"/>
        <v>y</v>
      </c>
      <c r="CO48" s="18" t="str">
        <f t="shared" si="119"/>
        <v>y</v>
      </c>
      <c r="CP48" s="18" t="str">
        <f t="shared" si="119"/>
        <v>y</v>
      </c>
      <c r="CQ48" s="18" t="str">
        <f t="shared" si="119"/>
        <v>y</v>
      </c>
      <c r="CR48" s="18" t="str">
        <f t="shared" si="119"/>
        <v>y</v>
      </c>
      <c r="CS48" s="18" t="str">
        <f t="shared" si="119"/>
        <v>y</v>
      </c>
      <c r="CT48" s="18" t="str">
        <f t="shared" si="119"/>
        <v/>
      </c>
      <c r="CU48" s="18" t="str">
        <f t="shared" si="119"/>
        <v/>
      </c>
      <c r="CV48" s="18" t="str">
        <f t="shared" si="119"/>
        <v/>
      </c>
      <c r="CW48" s="18" t="str">
        <f t="shared" si="119"/>
        <v/>
      </c>
      <c r="CX48" s="18" t="str">
        <f t="shared" si="119"/>
        <v/>
      </c>
      <c r="CY48" s="18" t="str">
        <f t="shared" si="119"/>
        <v/>
      </c>
      <c r="CZ48" s="18" t="str">
        <f t="shared" si="119"/>
        <v/>
      </c>
    </row>
    <row r="49" spans="1:104" ht="14.25" customHeight="1" x14ac:dyDescent="0.3">
      <c r="A49" s="4" t="s">
        <v>109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10"/>
    </row>
    <row r="50" spans="1:104" ht="15" customHeight="1" x14ac:dyDescent="0.3">
      <c r="A50" s="3" t="s">
        <v>110</v>
      </c>
      <c r="B50" s="2" t="s">
        <v>111</v>
      </c>
      <c r="C50" s="3" t="s">
        <v>112</v>
      </c>
      <c r="D50" s="1" t="s">
        <v>113</v>
      </c>
      <c r="E50" s="1" t="s">
        <v>114</v>
      </c>
      <c r="F50" s="16" t="s">
        <v>25</v>
      </c>
      <c r="G50" s="15" t="s">
        <v>115</v>
      </c>
      <c r="H50" s="15" t="s">
        <v>115</v>
      </c>
      <c r="I50" s="15">
        <f>K50-J50+1</f>
        <v>7</v>
      </c>
      <c r="J50" s="17">
        <v>45992</v>
      </c>
      <c r="K50" s="17">
        <v>45998</v>
      </c>
      <c r="N50" s="18" t="str">
        <f t="shared" ref="N50:AS50" si="120">IF($D50="","",IF(AND($J50&lt;=N$4,$K50&gt;=N$4),"x",""))</f>
        <v/>
      </c>
      <c r="O50" s="18" t="str">
        <f t="shared" si="120"/>
        <v/>
      </c>
      <c r="P50" s="18" t="str">
        <f t="shared" si="120"/>
        <v/>
      </c>
      <c r="Q50" s="18" t="str">
        <f t="shared" si="120"/>
        <v/>
      </c>
      <c r="R50" s="18" t="str">
        <f t="shared" si="120"/>
        <v/>
      </c>
      <c r="S50" s="18" t="str">
        <f t="shared" si="120"/>
        <v/>
      </c>
      <c r="T50" s="18" t="str">
        <f t="shared" si="120"/>
        <v/>
      </c>
      <c r="U50" s="18" t="str">
        <f t="shared" si="120"/>
        <v/>
      </c>
      <c r="V50" s="18" t="str">
        <f t="shared" si="120"/>
        <v/>
      </c>
      <c r="W50" s="18" t="str">
        <f t="shared" si="120"/>
        <v/>
      </c>
      <c r="X50" s="18" t="str">
        <f t="shared" si="120"/>
        <v/>
      </c>
      <c r="Y50" s="18" t="str">
        <f t="shared" si="120"/>
        <v/>
      </c>
      <c r="Z50" s="18" t="str">
        <f t="shared" si="120"/>
        <v/>
      </c>
      <c r="AA50" s="18" t="str">
        <f t="shared" si="120"/>
        <v/>
      </c>
      <c r="AB50" s="18" t="str">
        <f t="shared" si="120"/>
        <v/>
      </c>
      <c r="AC50" s="18" t="str">
        <f t="shared" si="120"/>
        <v/>
      </c>
      <c r="AD50" s="18" t="str">
        <f t="shared" si="120"/>
        <v/>
      </c>
      <c r="AE50" s="18" t="str">
        <f t="shared" si="120"/>
        <v/>
      </c>
      <c r="AF50" s="18" t="str">
        <f t="shared" si="120"/>
        <v/>
      </c>
      <c r="AG50" s="18" t="str">
        <f t="shared" si="120"/>
        <v/>
      </c>
      <c r="AH50" s="18" t="str">
        <f t="shared" si="120"/>
        <v/>
      </c>
      <c r="AI50" s="18" t="str">
        <f t="shared" si="120"/>
        <v/>
      </c>
      <c r="AJ50" s="18" t="str">
        <f t="shared" si="120"/>
        <v/>
      </c>
      <c r="AK50" s="18" t="str">
        <f t="shared" si="120"/>
        <v/>
      </c>
      <c r="AL50" s="18" t="str">
        <f t="shared" si="120"/>
        <v/>
      </c>
      <c r="AM50" s="18" t="str">
        <f t="shared" si="120"/>
        <v/>
      </c>
      <c r="AN50" s="18" t="str">
        <f t="shared" si="120"/>
        <v/>
      </c>
      <c r="AO50" s="18" t="str">
        <f t="shared" si="120"/>
        <v/>
      </c>
      <c r="AP50" s="18" t="str">
        <f t="shared" si="120"/>
        <v/>
      </c>
      <c r="AQ50" s="18" t="str">
        <f t="shared" si="120"/>
        <v/>
      </c>
      <c r="AR50" s="18" t="str">
        <f t="shared" si="120"/>
        <v/>
      </c>
      <c r="AS50" s="18" t="str">
        <f t="shared" si="120"/>
        <v/>
      </c>
      <c r="AT50" s="18" t="str">
        <f t="shared" ref="AT50:BY50" si="121">IF($D50="","",IF(AND($J50&lt;=AT$4,$K50&gt;=AT$4),"x",""))</f>
        <v/>
      </c>
      <c r="AU50" s="18" t="str">
        <f t="shared" si="121"/>
        <v/>
      </c>
      <c r="AV50" s="18" t="str">
        <f t="shared" si="121"/>
        <v/>
      </c>
      <c r="AW50" s="18" t="str">
        <f t="shared" si="121"/>
        <v/>
      </c>
      <c r="AX50" s="18" t="str">
        <f t="shared" si="121"/>
        <v/>
      </c>
      <c r="AY50" s="18" t="str">
        <f t="shared" si="121"/>
        <v/>
      </c>
      <c r="AZ50" s="18" t="str">
        <f t="shared" si="121"/>
        <v/>
      </c>
      <c r="BA50" s="18" t="str">
        <f t="shared" si="121"/>
        <v/>
      </c>
      <c r="BB50" s="18" t="str">
        <f t="shared" si="121"/>
        <v/>
      </c>
      <c r="BC50" s="18" t="str">
        <f t="shared" si="121"/>
        <v/>
      </c>
      <c r="BD50" s="18" t="str">
        <f t="shared" si="121"/>
        <v/>
      </c>
      <c r="BE50" s="18" t="str">
        <f t="shared" si="121"/>
        <v/>
      </c>
      <c r="BF50" s="18" t="str">
        <f t="shared" si="121"/>
        <v/>
      </c>
      <c r="BG50" s="18" t="str">
        <f t="shared" si="121"/>
        <v/>
      </c>
      <c r="BH50" s="18" t="str">
        <f t="shared" si="121"/>
        <v/>
      </c>
      <c r="BI50" s="18" t="str">
        <f t="shared" si="121"/>
        <v/>
      </c>
      <c r="BJ50" s="18" t="str">
        <f t="shared" si="121"/>
        <v/>
      </c>
      <c r="BK50" s="18" t="str">
        <f t="shared" si="121"/>
        <v/>
      </c>
      <c r="BL50" s="18" t="str">
        <f t="shared" si="121"/>
        <v/>
      </c>
      <c r="BM50" s="18" t="str">
        <f t="shared" si="121"/>
        <v/>
      </c>
      <c r="BN50" s="18" t="str">
        <f t="shared" si="121"/>
        <v/>
      </c>
      <c r="BO50" s="18" t="str">
        <f t="shared" si="121"/>
        <v/>
      </c>
      <c r="BP50" s="18" t="str">
        <f t="shared" si="121"/>
        <v/>
      </c>
      <c r="BQ50" s="18" t="str">
        <f t="shared" si="121"/>
        <v/>
      </c>
      <c r="BR50" s="18" t="str">
        <f t="shared" si="121"/>
        <v/>
      </c>
      <c r="BS50" s="18" t="str">
        <f t="shared" si="121"/>
        <v/>
      </c>
      <c r="BT50" s="18" t="str">
        <f t="shared" si="121"/>
        <v/>
      </c>
      <c r="BU50" s="18" t="str">
        <f t="shared" si="121"/>
        <v/>
      </c>
      <c r="BV50" s="18" t="str">
        <f t="shared" si="121"/>
        <v/>
      </c>
      <c r="BW50" s="18" t="str">
        <f t="shared" si="121"/>
        <v/>
      </c>
      <c r="BX50" s="18" t="str">
        <f t="shared" si="121"/>
        <v/>
      </c>
      <c r="BY50" s="18" t="str">
        <f t="shared" si="121"/>
        <v/>
      </c>
      <c r="BZ50" s="18" t="str">
        <f t="shared" ref="BZ50:CZ50" si="122">IF($D50="","",IF(AND($J50&lt;=BZ$4,$K50&gt;=BZ$4),"x",""))</f>
        <v/>
      </c>
      <c r="CA50" s="18" t="str">
        <f t="shared" si="122"/>
        <v/>
      </c>
      <c r="CB50" s="18" t="str">
        <f t="shared" si="122"/>
        <v/>
      </c>
      <c r="CC50" s="18" t="str">
        <f t="shared" si="122"/>
        <v/>
      </c>
      <c r="CD50" s="18" t="str">
        <f t="shared" si="122"/>
        <v/>
      </c>
      <c r="CE50" s="18" t="str">
        <f t="shared" si="122"/>
        <v/>
      </c>
      <c r="CF50" s="18" t="str">
        <f t="shared" si="122"/>
        <v/>
      </c>
      <c r="CG50" s="18" t="str">
        <f t="shared" si="122"/>
        <v/>
      </c>
      <c r="CH50" s="18" t="str">
        <f t="shared" si="122"/>
        <v/>
      </c>
      <c r="CI50" s="18" t="str">
        <f t="shared" si="122"/>
        <v/>
      </c>
      <c r="CJ50" s="18" t="str">
        <f t="shared" si="122"/>
        <v/>
      </c>
      <c r="CK50" s="18" t="str">
        <f t="shared" si="122"/>
        <v/>
      </c>
      <c r="CL50" s="18" t="str">
        <f t="shared" si="122"/>
        <v/>
      </c>
      <c r="CM50" s="18" t="str">
        <f t="shared" si="122"/>
        <v/>
      </c>
      <c r="CN50" s="18" t="str">
        <f t="shared" si="122"/>
        <v/>
      </c>
      <c r="CO50" s="18" t="str">
        <f t="shared" si="122"/>
        <v/>
      </c>
      <c r="CP50" s="18" t="str">
        <f t="shared" si="122"/>
        <v/>
      </c>
      <c r="CQ50" s="18" t="str">
        <f t="shared" si="122"/>
        <v/>
      </c>
      <c r="CR50" s="18" t="str">
        <f t="shared" si="122"/>
        <v/>
      </c>
      <c r="CS50" s="18" t="str">
        <f t="shared" si="122"/>
        <v/>
      </c>
      <c r="CT50" s="18" t="str">
        <f t="shared" si="122"/>
        <v>x</v>
      </c>
      <c r="CU50" s="18" t="str">
        <f t="shared" si="122"/>
        <v>x</v>
      </c>
      <c r="CV50" s="18" t="str">
        <f t="shared" si="122"/>
        <v>x</v>
      </c>
      <c r="CW50" s="18" t="str">
        <f t="shared" si="122"/>
        <v>x</v>
      </c>
      <c r="CX50" s="18" t="str">
        <f t="shared" si="122"/>
        <v>x</v>
      </c>
      <c r="CY50" s="18" t="str">
        <f t="shared" si="122"/>
        <v>x</v>
      </c>
      <c r="CZ50" s="18" t="str">
        <f t="shared" si="122"/>
        <v>x</v>
      </c>
    </row>
    <row r="51" spans="1:104" ht="15" customHeight="1" x14ac:dyDescent="0.3">
      <c r="A51" s="3"/>
      <c r="B51" s="2"/>
      <c r="C51" s="3"/>
      <c r="D51" s="3"/>
      <c r="E51" s="3"/>
      <c r="F51" s="19"/>
      <c r="J51" s="20"/>
      <c r="K51" s="20"/>
      <c r="L51" s="21">
        <v>45992</v>
      </c>
      <c r="M51" s="21">
        <v>45998</v>
      </c>
      <c r="N51" s="18" t="str">
        <f t="shared" ref="N51:AS51" si="123">IF(AND($L51&lt;=N$4,$M51&gt;=N$4),"y","")</f>
        <v/>
      </c>
      <c r="O51" s="18" t="str">
        <f t="shared" si="123"/>
        <v/>
      </c>
      <c r="P51" s="18" t="str">
        <f t="shared" si="123"/>
        <v/>
      </c>
      <c r="Q51" s="18" t="str">
        <f t="shared" si="123"/>
        <v/>
      </c>
      <c r="R51" s="18" t="str">
        <f t="shared" si="123"/>
        <v/>
      </c>
      <c r="S51" s="18" t="str">
        <f t="shared" si="123"/>
        <v/>
      </c>
      <c r="T51" s="18" t="str">
        <f t="shared" si="123"/>
        <v/>
      </c>
      <c r="U51" s="18" t="str">
        <f t="shared" si="123"/>
        <v/>
      </c>
      <c r="V51" s="18" t="str">
        <f t="shared" si="123"/>
        <v/>
      </c>
      <c r="W51" s="18" t="str">
        <f t="shared" si="123"/>
        <v/>
      </c>
      <c r="X51" s="18" t="str">
        <f t="shared" si="123"/>
        <v/>
      </c>
      <c r="Y51" s="18" t="str">
        <f t="shared" si="123"/>
        <v/>
      </c>
      <c r="Z51" s="18" t="str">
        <f t="shared" si="123"/>
        <v/>
      </c>
      <c r="AA51" s="18" t="str">
        <f t="shared" si="123"/>
        <v/>
      </c>
      <c r="AB51" s="18" t="str">
        <f t="shared" si="123"/>
        <v/>
      </c>
      <c r="AC51" s="18" t="str">
        <f t="shared" si="123"/>
        <v/>
      </c>
      <c r="AD51" s="18" t="str">
        <f t="shared" si="123"/>
        <v/>
      </c>
      <c r="AE51" s="18" t="str">
        <f t="shared" si="123"/>
        <v/>
      </c>
      <c r="AF51" s="18" t="str">
        <f t="shared" si="123"/>
        <v/>
      </c>
      <c r="AG51" s="18" t="str">
        <f t="shared" si="123"/>
        <v/>
      </c>
      <c r="AH51" s="18" t="str">
        <f t="shared" si="123"/>
        <v/>
      </c>
      <c r="AI51" s="18" t="str">
        <f t="shared" si="123"/>
        <v/>
      </c>
      <c r="AJ51" s="18" t="str">
        <f t="shared" si="123"/>
        <v/>
      </c>
      <c r="AK51" s="18" t="str">
        <f t="shared" si="123"/>
        <v/>
      </c>
      <c r="AL51" s="18" t="str">
        <f t="shared" si="123"/>
        <v/>
      </c>
      <c r="AM51" s="18" t="str">
        <f t="shared" si="123"/>
        <v/>
      </c>
      <c r="AN51" s="18" t="str">
        <f t="shared" si="123"/>
        <v/>
      </c>
      <c r="AO51" s="18" t="str">
        <f t="shared" si="123"/>
        <v/>
      </c>
      <c r="AP51" s="18" t="str">
        <f t="shared" si="123"/>
        <v/>
      </c>
      <c r="AQ51" s="18" t="str">
        <f t="shared" si="123"/>
        <v/>
      </c>
      <c r="AR51" s="18" t="str">
        <f t="shared" si="123"/>
        <v/>
      </c>
      <c r="AS51" s="18" t="str">
        <f t="shared" si="123"/>
        <v/>
      </c>
      <c r="AT51" s="18" t="str">
        <f t="shared" ref="AT51:BY51" si="124">IF(AND($L51&lt;=AT$4,$M51&gt;=AT$4),"y","")</f>
        <v/>
      </c>
      <c r="AU51" s="18" t="str">
        <f t="shared" si="124"/>
        <v/>
      </c>
      <c r="AV51" s="18" t="str">
        <f t="shared" si="124"/>
        <v/>
      </c>
      <c r="AW51" s="18" t="str">
        <f t="shared" si="124"/>
        <v/>
      </c>
      <c r="AX51" s="18" t="str">
        <f t="shared" si="124"/>
        <v/>
      </c>
      <c r="AY51" s="18" t="str">
        <f t="shared" si="124"/>
        <v/>
      </c>
      <c r="AZ51" s="18" t="str">
        <f t="shared" si="124"/>
        <v/>
      </c>
      <c r="BA51" s="18" t="str">
        <f t="shared" si="124"/>
        <v/>
      </c>
      <c r="BB51" s="18" t="str">
        <f t="shared" si="124"/>
        <v/>
      </c>
      <c r="BC51" s="18" t="str">
        <f t="shared" si="124"/>
        <v/>
      </c>
      <c r="BD51" s="18" t="str">
        <f t="shared" si="124"/>
        <v/>
      </c>
      <c r="BE51" s="18" t="str">
        <f t="shared" si="124"/>
        <v/>
      </c>
      <c r="BF51" s="18" t="str">
        <f t="shared" si="124"/>
        <v/>
      </c>
      <c r="BG51" s="18" t="str">
        <f t="shared" si="124"/>
        <v/>
      </c>
      <c r="BH51" s="18" t="str">
        <f t="shared" si="124"/>
        <v/>
      </c>
      <c r="BI51" s="18" t="str">
        <f t="shared" si="124"/>
        <v/>
      </c>
      <c r="BJ51" s="18" t="str">
        <f t="shared" si="124"/>
        <v/>
      </c>
      <c r="BK51" s="18" t="str">
        <f t="shared" si="124"/>
        <v/>
      </c>
      <c r="BL51" s="18" t="str">
        <f t="shared" si="124"/>
        <v/>
      </c>
      <c r="BM51" s="18" t="str">
        <f t="shared" si="124"/>
        <v/>
      </c>
      <c r="BN51" s="18" t="str">
        <f t="shared" si="124"/>
        <v/>
      </c>
      <c r="BO51" s="18" t="str">
        <f t="shared" si="124"/>
        <v/>
      </c>
      <c r="BP51" s="18" t="str">
        <f t="shared" si="124"/>
        <v/>
      </c>
      <c r="BQ51" s="18" t="str">
        <f t="shared" si="124"/>
        <v/>
      </c>
      <c r="BR51" s="18" t="str">
        <f t="shared" si="124"/>
        <v/>
      </c>
      <c r="BS51" s="18" t="str">
        <f t="shared" si="124"/>
        <v/>
      </c>
      <c r="BT51" s="18" t="str">
        <f t="shared" si="124"/>
        <v/>
      </c>
      <c r="BU51" s="18" t="str">
        <f t="shared" si="124"/>
        <v/>
      </c>
      <c r="BV51" s="18" t="str">
        <f t="shared" si="124"/>
        <v/>
      </c>
      <c r="BW51" s="18" t="str">
        <f t="shared" si="124"/>
        <v/>
      </c>
      <c r="BX51" s="18" t="str">
        <f t="shared" si="124"/>
        <v/>
      </c>
      <c r="BY51" s="18" t="str">
        <f t="shared" si="124"/>
        <v/>
      </c>
      <c r="BZ51" s="18" t="str">
        <f t="shared" ref="BZ51:CZ51" si="125">IF(AND($L51&lt;=BZ$4,$M51&gt;=BZ$4),"y","")</f>
        <v/>
      </c>
      <c r="CA51" s="18" t="str">
        <f t="shared" si="125"/>
        <v/>
      </c>
      <c r="CB51" s="18" t="str">
        <f t="shared" si="125"/>
        <v/>
      </c>
      <c r="CC51" s="18" t="str">
        <f t="shared" si="125"/>
        <v/>
      </c>
      <c r="CD51" s="18" t="str">
        <f t="shared" si="125"/>
        <v/>
      </c>
      <c r="CE51" s="18" t="str">
        <f t="shared" si="125"/>
        <v/>
      </c>
      <c r="CF51" s="18" t="str">
        <f t="shared" si="125"/>
        <v/>
      </c>
      <c r="CG51" s="18" t="str">
        <f t="shared" si="125"/>
        <v/>
      </c>
      <c r="CH51" s="18" t="str">
        <f t="shared" si="125"/>
        <v/>
      </c>
      <c r="CI51" s="18" t="str">
        <f t="shared" si="125"/>
        <v/>
      </c>
      <c r="CJ51" s="18" t="str">
        <f t="shared" si="125"/>
        <v/>
      </c>
      <c r="CK51" s="18" t="str">
        <f t="shared" si="125"/>
        <v/>
      </c>
      <c r="CL51" s="18" t="str">
        <f t="shared" si="125"/>
        <v/>
      </c>
      <c r="CM51" s="18" t="str">
        <f t="shared" si="125"/>
        <v/>
      </c>
      <c r="CN51" s="18" t="str">
        <f t="shared" si="125"/>
        <v/>
      </c>
      <c r="CO51" s="18" t="str">
        <f t="shared" si="125"/>
        <v/>
      </c>
      <c r="CP51" s="18" t="str">
        <f t="shared" si="125"/>
        <v/>
      </c>
      <c r="CQ51" s="18" t="str">
        <f t="shared" si="125"/>
        <v/>
      </c>
      <c r="CR51" s="18" t="str">
        <f t="shared" si="125"/>
        <v/>
      </c>
      <c r="CS51" s="18" t="str">
        <f t="shared" si="125"/>
        <v/>
      </c>
      <c r="CT51" s="18" t="str">
        <f t="shared" si="125"/>
        <v>y</v>
      </c>
      <c r="CU51" s="18" t="str">
        <f t="shared" si="125"/>
        <v>y</v>
      </c>
      <c r="CV51" s="18" t="str">
        <f t="shared" si="125"/>
        <v>y</v>
      </c>
      <c r="CW51" s="18" t="str">
        <f t="shared" si="125"/>
        <v>y</v>
      </c>
      <c r="CX51" s="18" t="str">
        <f t="shared" si="125"/>
        <v>y</v>
      </c>
      <c r="CY51" s="18" t="str">
        <f t="shared" si="125"/>
        <v>y</v>
      </c>
      <c r="CZ51" s="18" t="str">
        <f t="shared" si="125"/>
        <v>y</v>
      </c>
    </row>
    <row r="52" spans="1:104" ht="15" customHeight="1" x14ac:dyDescent="0.3">
      <c r="A52" s="3" t="s">
        <v>116</v>
      </c>
      <c r="B52" s="2" t="s">
        <v>110</v>
      </c>
      <c r="C52" s="3" t="s">
        <v>112</v>
      </c>
      <c r="D52" s="1" t="s">
        <v>117</v>
      </c>
      <c r="E52" s="1" t="s">
        <v>118</v>
      </c>
      <c r="F52" s="16" t="s">
        <v>20</v>
      </c>
      <c r="G52" s="15" t="s">
        <v>115</v>
      </c>
      <c r="H52" s="15" t="s">
        <v>115</v>
      </c>
      <c r="I52" s="15">
        <f>K52-J52+1</f>
        <v>7</v>
      </c>
      <c r="J52" s="17">
        <v>45992</v>
      </c>
      <c r="K52" s="17">
        <v>45998</v>
      </c>
      <c r="N52" s="18" t="str">
        <f t="shared" ref="N52:AS52" si="126">IF($D52="","",IF(AND($J52&lt;=N$4,$K52&gt;=N$4),"x",""))</f>
        <v/>
      </c>
      <c r="O52" s="18" t="str">
        <f t="shared" si="126"/>
        <v/>
      </c>
      <c r="P52" s="18" t="str">
        <f t="shared" si="126"/>
        <v/>
      </c>
      <c r="Q52" s="18" t="str">
        <f t="shared" si="126"/>
        <v/>
      </c>
      <c r="R52" s="18" t="str">
        <f t="shared" si="126"/>
        <v/>
      </c>
      <c r="S52" s="18" t="str">
        <f t="shared" si="126"/>
        <v/>
      </c>
      <c r="T52" s="18" t="str">
        <f t="shared" si="126"/>
        <v/>
      </c>
      <c r="U52" s="18" t="str">
        <f t="shared" si="126"/>
        <v/>
      </c>
      <c r="V52" s="18" t="str">
        <f t="shared" si="126"/>
        <v/>
      </c>
      <c r="W52" s="18" t="str">
        <f t="shared" si="126"/>
        <v/>
      </c>
      <c r="X52" s="18" t="str">
        <f t="shared" si="126"/>
        <v/>
      </c>
      <c r="Y52" s="18" t="str">
        <f t="shared" si="126"/>
        <v/>
      </c>
      <c r="Z52" s="18" t="str">
        <f t="shared" si="126"/>
        <v/>
      </c>
      <c r="AA52" s="18" t="str">
        <f t="shared" si="126"/>
        <v/>
      </c>
      <c r="AB52" s="18" t="str">
        <f t="shared" si="126"/>
        <v/>
      </c>
      <c r="AC52" s="18" t="str">
        <f t="shared" si="126"/>
        <v/>
      </c>
      <c r="AD52" s="18" t="str">
        <f t="shared" si="126"/>
        <v/>
      </c>
      <c r="AE52" s="18" t="str">
        <f t="shared" si="126"/>
        <v/>
      </c>
      <c r="AF52" s="18" t="str">
        <f t="shared" si="126"/>
        <v/>
      </c>
      <c r="AG52" s="18" t="str">
        <f t="shared" si="126"/>
        <v/>
      </c>
      <c r="AH52" s="18" t="str">
        <f t="shared" si="126"/>
        <v/>
      </c>
      <c r="AI52" s="18" t="str">
        <f t="shared" si="126"/>
        <v/>
      </c>
      <c r="AJ52" s="18" t="str">
        <f t="shared" si="126"/>
        <v/>
      </c>
      <c r="AK52" s="18" t="str">
        <f t="shared" si="126"/>
        <v/>
      </c>
      <c r="AL52" s="18" t="str">
        <f t="shared" si="126"/>
        <v/>
      </c>
      <c r="AM52" s="18" t="str">
        <f t="shared" si="126"/>
        <v/>
      </c>
      <c r="AN52" s="18" t="str">
        <f t="shared" si="126"/>
        <v/>
      </c>
      <c r="AO52" s="18" t="str">
        <f t="shared" si="126"/>
        <v/>
      </c>
      <c r="AP52" s="18" t="str">
        <f t="shared" si="126"/>
        <v/>
      </c>
      <c r="AQ52" s="18" t="str">
        <f t="shared" si="126"/>
        <v/>
      </c>
      <c r="AR52" s="18" t="str">
        <f t="shared" si="126"/>
        <v/>
      </c>
      <c r="AS52" s="18" t="str">
        <f t="shared" si="126"/>
        <v/>
      </c>
      <c r="AT52" s="18" t="str">
        <f t="shared" ref="AT52:BY52" si="127">IF($D52="","",IF(AND($J52&lt;=AT$4,$K52&gt;=AT$4),"x",""))</f>
        <v/>
      </c>
      <c r="AU52" s="18" t="str">
        <f t="shared" si="127"/>
        <v/>
      </c>
      <c r="AV52" s="18" t="str">
        <f t="shared" si="127"/>
        <v/>
      </c>
      <c r="AW52" s="18" t="str">
        <f t="shared" si="127"/>
        <v/>
      </c>
      <c r="AX52" s="18" t="str">
        <f t="shared" si="127"/>
        <v/>
      </c>
      <c r="AY52" s="18" t="str">
        <f t="shared" si="127"/>
        <v/>
      </c>
      <c r="AZ52" s="18" t="str">
        <f t="shared" si="127"/>
        <v/>
      </c>
      <c r="BA52" s="18" t="str">
        <f t="shared" si="127"/>
        <v/>
      </c>
      <c r="BB52" s="18" t="str">
        <f t="shared" si="127"/>
        <v/>
      </c>
      <c r="BC52" s="18" t="str">
        <f t="shared" si="127"/>
        <v/>
      </c>
      <c r="BD52" s="18" t="str">
        <f t="shared" si="127"/>
        <v/>
      </c>
      <c r="BE52" s="18" t="str">
        <f t="shared" si="127"/>
        <v/>
      </c>
      <c r="BF52" s="18" t="str">
        <f t="shared" si="127"/>
        <v/>
      </c>
      <c r="BG52" s="18" t="str">
        <f t="shared" si="127"/>
        <v/>
      </c>
      <c r="BH52" s="18" t="str">
        <f t="shared" si="127"/>
        <v/>
      </c>
      <c r="BI52" s="18" t="str">
        <f t="shared" si="127"/>
        <v/>
      </c>
      <c r="BJ52" s="18" t="str">
        <f t="shared" si="127"/>
        <v/>
      </c>
      <c r="BK52" s="18" t="str">
        <f t="shared" si="127"/>
        <v/>
      </c>
      <c r="BL52" s="18" t="str">
        <f t="shared" si="127"/>
        <v/>
      </c>
      <c r="BM52" s="18" t="str">
        <f t="shared" si="127"/>
        <v/>
      </c>
      <c r="BN52" s="18" t="str">
        <f t="shared" si="127"/>
        <v/>
      </c>
      <c r="BO52" s="18" t="str">
        <f t="shared" si="127"/>
        <v/>
      </c>
      <c r="BP52" s="18" t="str">
        <f t="shared" si="127"/>
        <v/>
      </c>
      <c r="BQ52" s="18" t="str">
        <f t="shared" si="127"/>
        <v/>
      </c>
      <c r="BR52" s="18" t="str">
        <f t="shared" si="127"/>
        <v/>
      </c>
      <c r="BS52" s="18" t="str">
        <f t="shared" si="127"/>
        <v/>
      </c>
      <c r="BT52" s="18" t="str">
        <f t="shared" si="127"/>
        <v/>
      </c>
      <c r="BU52" s="18" t="str">
        <f t="shared" si="127"/>
        <v/>
      </c>
      <c r="BV52" s="18" t="str">
        <f t="shared" si="127"/>
        <v/>
      </c>
      <c r="BW52" s="18" t="str">
        <f t="shared" si="127"/>
        <v/>
      </c>
      <c r="BX52" s="18" t="str">
        <f t="shared" si="127"/>
        <v/>
      </c>
      <c r="BY52" s="18" t="str">
        <f t="shared" si="127"/>
        <v/>
      </c>
      <c r="BZ52" s="18" t="str">
        <f t="shared" ref="BZ52:CZ52" si="128">IF($D52="","",IF(AND($J52&lt;=BZ$4,$K52&gt;=BZ$4),"x",""))</f>
        <v/>
      </c>
      <c r="CA52" s="18" t="str">
        <f t="shared" si="128"/>
        <v/>
      </c>
      <c r="CB52" s="18" t="str">
        <f t="shared" si="128"/>
        <v/>
      </c>
      <c r="CC52" s="18" t="str">
        <f t="shared" si="128"/>
        <v/>
      </c>
      <c r="CD52" s="18" t="str">
        <f t="shared" si="128"/>
        <v/>
      </c>
      <c r="CE52" s="18" t="str">
        <f t="shared" si="128"/>
        <v/>
      </c>
      <c r="CF52" s="18" t="str">
        <f t="shared" si="128"/>
        <v/>
      </c>
      <c r="CG52" s="18" t="str">
        <f t="shared" si="128"/>
        <v/>
      </c>
      <c r="CH52" s="18" t="str">
        <f t="shared" si="128"/>
        <v/>
      </c>
      <c r="CI52" s="18" t="str">
        <f t="shared" si="128"/>
        <v/>
      </c>
      <c r="CJ52" s="18" t="str">
        <f t="shared" si="128"/>
        <v/>
      </c>
      <c r="CK52" s="18" t="str">
        <f t="shared" si="128"/>
        <v/>
      </c>
      <c r="CL52" s="18" t="str">
        <f t="shared" si="128"/>
        <v/>
      </c>
      <c r="CM52" s="18" t="str">
        <f t="shared" si="128"/>
        <v/>
      </c>
      <c r="CN52" s="18" t="str">
        <f t="shared" si="128"/>
        <v/>
      </c>
      <c r="CO52" s="18" t="str">
        <f t="shared" si="128"/>
        <v/>
      </c>
      <c r="CP52" s="18" t="str">
        <f t="shared" si="128"/>
        <v/>
      </c>
      <c r="CQ52" s="18" t="str">
        <f t="shared" si="128"/>
        <v/>
      </c>
      <c r="CR52" s="18" t="str">
        <f t="shared" si="128"/>
        <v/>
      </c>
      <c r="CS52" s="18" t="str">
        <f t="shared" si="128"/>
        <v/>
      </c>
      <c r="CT52" s="18" t="str">
        <f t="shared" si="128"/>
        <v>x</v>
      </c>
      <c r="CU52" s="18" t="str">
        <f t="shared" si="128"/>
        <v>x</v>
      </c>
      <c r="CV52" s="18" t="str">
        <f t="shared" si="128"/>
        <v>x</v>
      </c>
      <c r="CW52" s="18" t="str">
        <f t="shared" si="128"/>
        <v>x</v>
      </c>
      <c r="CX52" s="18" t="str">
        <f t="shared" si="128"/>
        <v>x</v>
      </c>
      <c r="CY52" s="18" t="str">
        <f t="shared" si="128"/>
        <v>x</v>
      </c>
      <c r="CZ52" s="18" t="str">
        <f t="shared" si="128"/>
        <v>x</v>
      </c>
    </row>
    <row r="53" spans="1:104" ht="15" customHeight="1" x14ac:dyDescent="0.3">
      <c r="A53" s="3"/>
      <c r="B53" s="2"/>
      <c r="C53" s="3"/>
      <c r="D53" s="3"/>
      <c r="E53" s="3"/>
      <c r="F53" s="19"/>
      <c r="J53" s="20"/>
      <c r="K53" s="20"/>
      <c r="L53" s="21">
        <v>45992</v>
      </c>
      <c r="M53" s="21">
        <v>45998</v>
      </c>
      <c r="N53" s="18" t="str">
        <f t="shared" ref="N53:AS53" si="129">IF(AND($L53&lt;=N$4,$M53&gt;=N$4),"y","")</f>
        <v/>
      </c>
      <c r="O53" s="18" t="str">
        <f t="shared" si="129"/>
        <v/>
      </c>
      <c r="P53" s="18" t="str">
        <f t="shared" si="129"/>
        <v/>
      </c>
      <c r="Q53" s="18" t="str">
        <f t="shared" si="129"/>
        <v/>
      </c>
      <c r="R53" s="18" t="str">
        <f t="shared" si="129"/>
        <v/>
      </c>
      <c r="S53" s="18" t="str">
        <f t="shared" si="129"/>
        <v/>
      </c>
      <c r="T53" s="18" t="str">
        <f t="shared" si="129"/>
        <v/>
      </c>
      <c r="U53" s="18" t="str">
        <f t="shared" si="129"/>
        <v/>
      </c>
      <c r="V53" s="18" t="str">
        <f t="shared" si="129"/>
        <v/>
      </c>
      <c r="W53" s="18" t="str">
        <f t="shared" si="129"/>
        <v/>
      </c>
      <c r="X53" s="18" t="str">
        <f t="shared" si="129"/>
        <v/>
      </c>
      <c r="Y53" s="18" t="str">
        <f t="shared" si="129"/>
        <v/>
      </c>
      <c r="Z53" s="18" t="str">
        <f t="shared" si="129"/>
        <v/>
      </c>
      <c r="AA53" s="18" t="str">
        <f t="shared" si="129"/>
        <v/>
      </c>
      <c r="AB53" s="18" t="str">
        <f t="shared" si="129"/>
        <v/>
      </c>
      <c r="AC53" s="18" t="str">
        <f t="shared" si="129"/>
        <v/>
      </c>
      <c r="AD53" s="18" t="str">
        <f t="shared" si="129"/>
        <v/>
      </c>
      <c r="AE53" s="18" t="str">
        <f t="shared" si="129"/>
        <v/>
      </c>
      <c r="AF53" s="18" t="str">
        <f t="shared" si="129"/>
        <v/>
      </c>
      <c r="AG53" s="18" t="str">
        <f t="shared" si="129"/>
        <v/>
      </c>
      <c r="AH53" s="18" t="str">
        <f t="shared" si="129"/>
        <v/>
      </c>
      <c r="AI53" s="18" t="str">
        <f t="shared" si="129"/>
        <v/>
      </c>
      <c r="AJ53" s="18" t="str">
        <f t="shared" si="129"/>
        <v/>
      </c>
      <c r="AK53" s="18" t="str">
        <f t="shared" si="129"/>
        <v/>
      </c>
      <c r="AL53" s="18" t="str">
        <f t="shared" si="129"/>
        <v/>
      </c>
      <c r="AM53" s="18" t="str">
        <f t="shared" si="129"/>
        <v/>
      </c>
      <c r="AN53" s="18" t="str">
        <f t="shared" si="129"/>
        <v/>
      </c>
      <c r="AO53" s="18" t="str">
        <f t="shared" si="129"/>
        <v/>
      </c>
      <c r="AP53" s="18" t="str">
        <f t="shared" si="129"/>
        <v/>
      </c>
      <c r="AQ53" s="18" t="str">
        <f t="shared" si="129"/>
        <v/>
      </c>
      <c r="AR53" s="18" t="str">
        <f t="shared" si="129"/>
        <v/>
      </c>
      <c r="AS53" s="18" t="str">
        <f t="shared" si="129"/>
        <v/>
      </c>
      <c r="AT53" s="18" t="str">
        <f t="shared" ref="AT53:BY53" si="130">IF(AND($L53&lt;=AT$4,$M53&gt;=AT$4),"y","")</f>
        <v/>
      </c>
      <c r="AU53" s="18" t="str">
        <f t="shared" si="130"/>
        <v/>
      </c>
      <c r="AV53" s="18" t="str">
        <f t="shared" si="130"/>
        <v/>
      </c>
      <c r="AW53" s="18" t="str">
        <f t="shared" si="130"/>
        <v/>
      </c>
      <c r="AX53" s="18" t="str">
        <f t="shared" si="130"/>
        <v/>
      </c>
      <c r="AY53" s="18" t="str">
        <f t="shared" si="130"/>
        <v/>
      </c>
      <c r="AZ53" s="18" t="str">
        <f t="shared" si="130"/>
        <v/>
      </c>
      <c r="BA53" s="18" t="str">
        <f t="shared" si="130"/>
        <v/>
      </c>
      <c r="BB53" s="18" t="str">
        <f t="shared" si="130"/>
        <v/>
      </c>
      <c r="BC53" s="18" t="str">
        <f t="shared" si="130"/>
        <v/>
      </c>
      <c r="BD53" s="18" t="str">
        <f t="shared" si="130"/>
        <v/>
      </c>
      <c r="BE53" s="18" t="str">
        <f t="shared" si="130"/>
        <v/>
      </c>
      <c r="BF53" s="18" t="str">
        <f t="shared" si="130"/>
        <v/>
      </c>
      <c r="BG53" s="18" t="str">
        <f t="shared" si="130"/>
        <v/>
      </c>
      <c r="BH53" s="18" t="str">
        <f t="shared" si="130"/>
        <v/>
      </c>
      <c r="BI53" s="18" t="str">
        <f t="shared" si="130"/>
        <v/>
      </c>
      <c r="BJ53" s="18" t="str">
        <f t="shared" si="130"/>
        <v/>
      </c>
      <c r="BK53" s="18" t="str">
        <f t="shared" si="130"/>
        <v/>
      </c>
      <c r="BL53" s="18" t="str">
        <f t="shared" si="130"/>
        <v/>
      </c>
      <c r="BM53" s="18" t="str">
        <f t="shared" si="130"/>
        <v/>
      </c>
      <c r="BN53" s="18" t="str">
        <f t="shared" si="130"/>
        <v/>
      </c>
      <c r="BO53" s="18" t="str">
        <f t="shared" si="130"/>
        <v/>
      </c>
      <c r="BP53" s="18" t="str">
        <f t="shared" si="130"/>
        <v/>
      </c>
      <c r="BQ53" s="18" t="str">
        <f t="shared" si="130"/>
        <v/>
      </c>
      <c r="BR53" s="18" t="str">
        <f t="shared" si="130"/>
        <v/>
      </c>
      <c r="BS53" s="18" t="str">
        <f t="shared" si="130"/>
        <v/>
      </c>
      <c r="BT53" s="18" t="str">
        <f t="shared" si="130"/>
        <v/>
      </c>
      <c r="BU53" s="18" t="str">
        <f t="shared" si="130"/>
        <v/>
      </c>
      <c r="BV53" s="18" t="str">
        <f t="shared" si="130"/>
        <v/>
      </c>
      <c r="BW53" s="18" t="str">
        <f t="shared" si="130"/>
        <v/>
      </c>
      <c r="BX53" s="18" t="str">
        <f t="shared" si="130"/>
        <v/>
      </c>
      <c r="BY53" s="18" t="str">
        <f t="shared" si="130"/>
        <v/>
      </c>
      <c r="BZ53" s="18" t="str">
        <f t="shared" ref="BZ53:CZ53" si="131">IF(AND($L53&lt;=BZ$4,$M53&gt;=BZ$4),"y","")</f>
        <v/>
      </c>
      <c r="CA53" s="18" t="str">
        <f t="shared" si="131"/>
        <v/>
      </c>
      <c r="CB53" s="18" t="str">
        <f t="shared" si="131"/>
        <v/>
      </c>
      <c r="CC53" s="18" t="str">
        <f t="shared" si="131"/>
        <v/>
      </c>
      <c r="CD53" s="18" t="str">
        <f t="shared" si="131"/>
        <v/>
      </c>
      <c r="CE53" s="18" t="str">
        <f t="shared" si="131"/>
        <v/>
      </c>
      <c r="CF53" s="18" t="str">
        <f t="shared" si="131"/>
        <v/>
      </c>
      <c r="CG53" s="18" t="str">
        <f t="shared" si="131"/>
        <v/>
      </c>
      <c r="CH53" s="18" t="str">
        <f t="shared" si="131"/>
        <v/>
      </c>
      <c r="CI53" s="18" t="str">
        <f t="shared" si="131"/>
        <v/>
      </c>
      <c r="CJ53" s="18" t="str">
        <f t="shared" si="131"/>
        <v/>
      </c>
      <c r="CK53" s="18" t="str">
        <f t="shared" si="131"/>
        <v/>
      </c>
      <c r="CL53" s="18" t="str">
        <f t="shared" si="131"/>
        <v/>
      </c>
      <c r="CM53" s="18" t="str">
        <f t="shared" si="131"/>
        <v/>
      </c>
      <c r="CN53" s="18" t="str">
        <f t="shared" si="131"/>
        <v/>
      </c>
      <c r="CO53" s="18" t="str">
        <f t="shared" si="131"/>
        <v/>
      </c>
      <c r="CP53" s="18" t="str">
        <f t="shared" si="131"/>
        <v/>
      </c>
      <c r="CQ53" s="18" t="str">
        <f t="shared" si="131"/>
        <v/>
      </c>
      <c r="CR53" s="18" t="str">
        <f t="shared" si="131"/>
        <v/>
      </c>
      <c r="CS53" s="18" t="str">
        <f t="shared" si="131"/>
        <v/>
      </c>
      <c r="CT53" s="18" t="str">
        <f t="shared" si="131"/>
        <v>y</v>
      </c>
      <c r="CU53" s="18" t="str">
        <f t="shared" si="131"/>
        <v>y</v>
      </c>
      <c r="CV53" s="18" t="str">
        <f t="shared" si="131"/>
        <v>y</v>
      </c>
      <c r="CW53" s="18" t="str">
        <f t="shared" si="131"/>
        <v>y</v>
      </c>
      <c r="CX53" s="18" t="str">
        <f t="shared" si="131"/>
        <v>y</v>
      </c>
      <c r="CY53" s="18" t="str">
        <f t="shared" si="131"/>
        <v>y</v>
      </c>
      <c r="CZ53" s="18" t="str">
        <f t="shared" si="131"/>
        <v>y</v>
      </c>
    </row>
  </sheetData>
  <mergeCells count="130">
    <mergeCell ref="A52:A53"/>
    <mergeCell ref="B52:B53"/>
    <mergeCell ref="C52:C53"/>
    <mergeCell ref="D52:D53"/>
    <mergeCell ref="E52:E53"/>
    <mergeCell ref="A47:A48"/>
    <mergeCell ref="B47:B48"/>
    <mergeCell ref="C47:C48"/>
    <mergeCell ref="D47:D48"/>
    <mergeCell ref="E47:E48"/>
    <mergeCell ref="A49:CY49"/>
    <mergeCell ref="A50:A51"/>
    <mergeCell ref="B50:B51"/>
    <mergeCell ref="C50:C51"/>
    <mergeCell ref="D50:D51"/>
    <mergeCell ref="E50:E51"/>
    <mergeCell ref="A42:A43"/>
    <mergeCell ref="B42:B43"/>
    <mergeCell ref="C42:C43"/>
    <mergeCell ref="D42:D43"/>
    <mergeCell ref="E42:E43"/>
    <mergeCell ref="A44:CY44"/>
    <mergeCell ref="A45:A46"/>
    <mergeCell ref="B45:B46"/>
    <mergeCell ref="C45:C46"/>
    <mergeCell ref="D45:D46"/>
    <mergeCell ref="E45:E46"/>
    <mergeCell ref="A37:A38"/>
    <mergeCell ref="B37:B38"/>
    <mergeCell ref="C37:C38"/>
    <mergeCell ref="D37:D38"/>
    <mergeCell ref="E37:E38"/>
    <mergeCell ref="A39:CY39"/>
    <mergeCell ref="A40:A41"/>
    <mergeCell ref="B40:B41"/>
    <mergeCell ref="C40:C41"/>
    <mergeCell ref="D40:D41"/>
    <mergeCell ref="E40:E41"/>
    <mergeCell ref="A33:A34"/>
    <mergeCell ref="B33:B34"/>
    <mergeCell ref="C33:C34"/>
    <mergeCell ref="D33:D34"/>
    <mergeCell ref="E33:E34"/>
    <mergeCell ref="A35:A36"/>
    <mergeCell ref="B35:B36"/>
    <mergeCell ref="C35:C36"/>
    <mergeCell ref="D35:D36"/>
    <mergeCell ref="E35:E36"/>
    <mergeCell ref="A29:A30"/>
    <mergeCell ref="B29:B30"/>
    <mergeCell ref="C29:C30"/>
    <mergeCell ref="D29:D30"/>
    <mergeCell ref="E29:E30"/>
    <mergeCell ref="A31:A32"/>
    <mergeCell ref="B31:B32"/>
    <mergeCell ref="C31:C32"/>
    <mergeCell ref="D31:D32"/>
    <mergeCell ref="E31:E32"/>
    <mergeCell ref="A24:CY24"/>
    <mergeCell ref="A25:A26"/>
    <mergeCell ref="B25:B26"/>
    <mergeCell ref="C25:C26"/>
    <mergeCell ref="D25:D26"/>
    <mergeCell ref="E25:E26"/>
    <mergeCell ref="A27:A28"/>
    <mergeCell ref="B27:B28"/>
    <mergeCell ref="C27:C28"/>
    <mergeCell ref="D27:D28"/>
    <mergeCell ref="E27:E28"/>
    <mergeCell ref="A19:CY19"/>
    <mergeCell ref="A20:A21"/>
    <mergeCell ref="B20:B21"/>
    <mergeCell ref="C20:C21"/>
    <mergeCell ref="D20:D21"/>
    <mergeCell ref="E20:E21"/>
    <mergeCell ref="A22:A23"/>
    <mergeCell ref="B22:B23"/>
    <mergeCell ref="C22:C23"/>
    <mergeCell ref="D22:D23"/>
    <mergeCell ref="E22:E23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0:A11"/>
    <mergeCell ref="B10:B11"/>
    <mergeCell ref="C10:C11"/>
    <mergeCell ref="D10:D11"/>
    <mergeCell ref="E10:E11"/>
    <mergeCell ref="A12:CY12"/>
    <mergeCell ref="A13:A14"/>
    <mergeCell ref="B13:B14"/>
    <mergeCell ref="C13:C14"/>
    <mergeCell ref="D13:D14"/>
    <mergeCell ref="E13:E14"/>
    <mergeCell ref="A5:CY5"/>
    <mergeCell ref="A6:A7"/>
    <mergeCell ref="B6:B7"/>
    <mergeCell ref="C6:C7"/>
    <mergeCell ref="D6:D7"/>
    <mergeCell ref="E6:E7"/>
    <mergeCell ref="A8:A9"/>
    <mergeCell ref="B8:B9"/>
    <mergeCell ref="C8:C9"/>
    <mergeCell ref="D8:D9"/>
    <mergeCell ref="E8:E9"/>
    <mergeCell ref="BQ1:BW1"/>
    <mergeCell ref="BX1:CD1"/>
    <mergeCell ref="CE1:CK1"/>
    <mergeCell ref="CL1:CR1"/>
    <mergeCell ref="CS1:CY1"/>
    <mergeCell ref="M2:AI2"/>
    <mergeCell ref="AJ2:BN2"/>
    <mergeCell ref="BO2:CR2"/>
    <mergeCell ref="CS2:CY2"/>
    <mergeCell ref="A1:J1"/>
    <mergeCell ref="M1:S1"/>
    <mergeCell ref="T1:Z1"/>
    <mergeCell ref="AA1:AG1"/>
    <mergeCell ref="AH1:AN1"/>
    <mergeCell ref="AO1:AU1"/>
    <mergeCell ref="AV1:BB1"/>
    <mergeCell ref="BC1:BI1"/>
    <mergeCell ref="BJ1:BP1"/>
  </mergeCells>
  <conditionalFormatting sqref="M7 M9 M11 M14 M16 M18 M21 M23 M26 M28 M30 M32 M34 M36 M38 M41 M43 M46 M48 M51 M53 N6:CY6 N8:CY8 N10:CY10 N13:CY13 N15:CY15 N17:CY17 N20:CY20 N22:CY22 N25:CY25 N27:CY27 N29:CY29 N31:CY31 N33:CY33 N35:CY35 N37:CY37 N40:CY40 N42:CY42 N45:CY45 N47:CY47 N50:CY50 N52:CY52">
    <cfRule type="expression" dxfId="21" priority="2">
      <formula>M6="x"</formula>
    </cfRule>
  </conditionalFormatting>
  <conditionalFormatting sqref="N7:CY7">
    <cfRule type="expression" dxfId="20" priority="3">
      <formula>N7="y"</formula>
    </cfRule>
  </conditionalFormatting>
  <conditionalFormatting sqref="M9:CY9">
    <cfRule type="expression" dxfId="19" priority="4">
      <formula>M9="y"</formula>
    </cfRule>
  </conditionalFormatting>
  <conditionalFormatting sqref="M11:CY11">
    <cfRule type="expression" dxfId="18" priority="5">
      <formula>M11="y"</formula>
    </cfRule>
  </conditionalFormatting>
  <conditionalFormatting sqref="M14:CY14">
    <cfRule type="expression" dxfId="17" priority="6">
      <formula>M14="y"</formula>
    </cfRule>
  </conditionalFormatting>
  <conditionalFormatting sqref="M16:CY16">
    <cfRule type="expression" dxfId="16" priority="7">
      <formula>M16="y"</formula>
    </cfRule>
  </conditionalFormatting>
  <conditionalFormatting sqref="M18:CY18">
    <cfRule type="expression" dxfId="15" priority="8">
      <formula>M18="y"</formula>
    </cfRule>
  </conditionalFormatting>
  <conditionalFormatting sqref="M21:CY21">
    <cfRule type="expression" dxfId="14" priority="9">
      <formula>M21="y"</formula>
    </cfRule>
  </conditionalFormatting>
  <conditionalFormatting sqref="M23:CY23">
    <cfRule type="expression" dxfId="13" priority="10">
      <formula>M23="y"</formula>
    </cfRule>
  </conditionalFormatting>
  <conditionalFormatting sqref="M26:CY26">
    <cfRule type="expression" dxfId="12" priority="11">
      <formula>M26="y"</formula>
    </cfRule>
  </conditionalFormatting>
  <conditionalFormatting sqref="M28:CY28">
    <cfRule type="expression" dxfId="11" priority="12">
      <formula>M28="y"</formula>
    </cfRule>
  </conditionalFormatting>
  <conditionalFormatting sqref="M30:CY30">
    <cfRule type="expression" dxfId="10" priority="13">
      <formula>M30="y"</formula>
    </cfRule>
  </conditionalFormatting>
  <conditionalFormatting sqref="M32:CY32">
    <cfRule type="expression" dxfId="9" priority="14">
      <formula>M32="y"</formula>
    </cfRule>
  </conditionalFormatting>
  <conditionalFormatting sqref="M34:CY34">
    <cfRule type="expression" dxfId="8" priority="15">
      <formula>M34="y"</formula>
    </cfRule>
  </conditionalFormatting>
  <conditionalFormatting sqref="M36:CY36">
    <cfRule type="expression" dxfId="7" priority="16">
      <formula>M36="y"</formula>
    </cfRule>
  </conditionalFormatting>
  <conditionalFormatting sqref="M38:CY38">
    <cfRule type="expression" dxfId="6" priority="17">
      <formula>M38="y"</formula>
    </cfRule>
  </conditionalFormatting>
  <conditionalFormatting sqref="M41:CY41">
    <cfRule type="expression" dxfId="5" priority="18">
      <formula>M41="y"</formula>
    </cfRule>
  </conditionalFormatting>
  <conditionalFormatting sqref="M43:CY43">
    <cfRule type="expression" dxfId="4" priority="19">
      <formula>M43="y"</formula>
    </cfRule>
  </conditionalFormatting>
  <conditionalFormatting sqref="M46:CY46">
    <cfRule type="expression" dxfId="3" priority="20">
      <formula>M46="y"</formula>
    </cfRule>
  </conditionalFormatting>
  <conditionalFormatting sqref="M48:CY48">
    <cfRule type="expression" dxfId="2" priority="21">
      <formula>M48="y"</formula>
    </cfRule>
  </conditionalFormatting>
  <conditionalFormatting sqref="M51:CY51">
    <cfRule type="expression" dxfId="1" priority="22">
      <formula>M51="y"</formula>
    </cfRule>
  </conditionalFormatting>
  <conditionalFormatting sqref="M53:CY53">
    <cfRule type="expression" dxfId="0" priority="23">
      <formula>M53="y"</formula>
    </cfRule>
  </conditionalFormatting>
  <pageMargins left="0.75" right="0.75" top="1" bottom="1" header="0.511811023622047" footer="0.511811023622047"/>
  <pageSetup paperSize="9" orientation="portrait" horizontalDpi="300" verticalDpi="300"/>
  <ignoredErrors>
    <ignoredError sqref="N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ibm</cp:lastModifiedBy>
  <cp:revision>0</cp:revision>
  <dcterms:created xsi:type="dcterms:W3CDTF">2026-06-05T18:39:32Z</dcterms:created>
  <dcterms:modified xsi:type="dcterms:W3CDTF">2026-06-06T10:29:55Z</dcterms:modified>
  <dc:language>en-US</dc:language>
</cp:coreProperties>
</file>