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A 6 Semester\Software Project Management Lab\A Project stage 4\3\"/>
    </mc:Choice>
  </mc:AlternateContent>
  <xr:revisionPtr revIDLastSave="0" documentId="13_ncr:1_{D80DD3E7-3209-4E6A-8124-3F5A08C95A5A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Task Cost Estimation" sheetId="1" r:id="rId1"/>
    <sheet name="Resource Cost Estimation" sheetId="2" r:id="rId2"/>
    <sheet name="Budget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" i="3" l="1"/>
  <c r="D17" i="3"/>
  <c r="D16" i="3"/>
  <c r="A16" i="3"/>
  <c r="D15" i="3"/>
  <c r="A15" i="3"/>
  <c r="D14" i="3"/>
  <c r="A14" i="3"/>
  <c r="D13" i="3"/>
  <c r="A13" i="3"/>
  <c r="D12" i="3"/>
  <c r="A12" i="3"/>
  <c r="D11" i="3"/>
  <c r="A11" i="3"/>
  <c r="D10" i="3"/>
  <c r="A10" i="3"/>
  <c r="D10" i="2"/>
  <c r="F10" i="2" s="1"/>
  <c r="E16" i="3" s="1"/>
  <c r="D9" i="2"/>
  <c r="F9" i="2" s="1"/>
  <c r="E15" i="3" s="1"/>
  <c r="D8" i="2"/>
  <c r="F8" i="2" s="1"/>
  <c r="E14" i="3" s="1"/>
  <c r="D7" i="2"/>
  <c r="F7" i="2" s="1"/>
  <c r="E13" i="3" s="1"/>
  <c r="D6" i="2"/>
  <c r="F6" i="2" s="1"/>
  <c r="E12" i="3" s="1"/>
  <c r="D5" i="2"/>
  <c r="F5" i="2" s="1"/>
  <c r="E11" i="3" s="1"/>
  <c r="D4" i="2"/>
  <c r="F4" i="2" s="1"/>
  <c r="D11" i="1"/>
  <c r="F11" i="1" s="1"/>
  <c r="B16" i="3" s="1"/>
  <c r="D10" i="1"/>
  <c r="F10" i="1" s="1"/>
  <c r="B15" i="3" s="1"/>
  <c r="D9" i="1"/>
  <c r="F9" i="1" s="1"/>
  <c r="B14" i="3" s="1"/>
  <c r="D8" i="1"/>
  <c r="F8" i="1" s="1"/>
  <c r="B13" i="3" s="1"/>
  <c r="D7" i="1"/>
  <c r="F7" i="1" s="1"/>
  <c r="B12" i="3" s="1"/>
  <c r="D6" i="1"/>
  <c r="F6" i="1" s="1"/>
  <c r="B11" i="3" s="1"/>
  <c r="D5" i="1"/>
  <c r="F5" i="1" s="1"/>
  <c r="B10" i="3" l="1"/>
  <c r="F12" i="1"/>
  <c r="B3" i="3" s="1"/>
  <c r="B6" i="3" s="1"/>
  <c r="F12" i="2"/>
  <c r="B4" i="3" s="1"/>
  <c r="E10" i="3"/>
  <c r="D12" i="1"/>
</calcChain>
</file>

<file path=xl/sharedStrings.xml><?xml version="1.0" encoding="utf-8"?>
<sst xmlns="http://schemas.openxmlformats.org/spreadsheetml/2006/main" count="45" uniqueCount="40">
  <si>
    <t>Final Year Project Portal — Task Cost Estimation</t>
  </si>
  <si>
    <t>Note: 1 Day = 8 Standard Hours</t>
  </si>
  <si>
    <t>Task Name</t>
  </si>
  <si>
    <t>Days</t>
  </si>
  <si>
    <t>Standard Hours/Day</t>
  </si>
  <si>
    <t>Estimated Hours</t>
  </si>
  <si>
    <t>Rate/Hour (PKR)</t>
  </si>
  <si>
    <t>Total Cost (PKR)</t>
  </si>
  <si>
    <t>Project Initiation</t>
  </si>
  <si>
    <t>Requirements &amp; Planning</t>
  </si>
  <si>
    <t>System Design</t>
  </si>
  <si>
    <t>Development</t>
  </si>
  <si>
    <t>Testing / Quality Assurance</t>
  </si>
  <si>
    <t>Deployment</t>
  </si>
  <si>
    <t>Project Closure</t>
  </si>
  <si>
    <t>TOTAL TASK COST</t>
  </si>
  <si>
    <t>Final Year Project Portal — Resource Cost Estimation</t>
  </si>
  <si>
    <t>Resource Name</t>
  </si>
  <si>
    <t>Days Worked</t>
  </si>
  <si>
    <t>Hours/Day</t>
  </si>
  <si>
    <t>Total Hours Worked</t>
  </si>
  <si>
    <t>Rate/Hr (PKR)</t>
  </si>
  <si>
    <t>Total Pay (PKR)</t>
  </si>
  <si>
    <t>Project Manager</t>
  </si>
  <si>
    <t>Team Lead</t>
  </si>
  <si>
    <t>UI/UX Designer</t>
  </si>
  <si>
    <t>Backend Developer</t>
  </si>
  <si>
    <t>Frontend Developer</t>
  </si>
  <si>
    <t>FullStack Developer</t>
  </si>
  <si>
    <t>QA Engineer</t>
  </si>
  <si>
    <t>Server (Hosting – Fixed Cost)</t>
  </si>
  <si>
    <t>-</t>
  </si>
  <si>
    <t>TOTAL RESOURCE COST</t>
  </si>
  <si>
    <t>Final Year Project Portal — Project Budget Summary</t>
  </si>
  <si>
    <t>Grand Total (Task Cost):</t>
  </si>
  <si>
    <t>Grand Total (Resource Cost):</t>
  </si>
  <si>
    <t>Approved Budget:</t>
  </si>
  <si>
    <t>Status:</t>
  </si>
  <si>
    <t>Task</t>
  </si>
  <si>
    <t>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</si>
</sst>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PKR&quot;"/>
  </numFmts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672A8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3A9CE"/>
      <rgbColor rgb="FFAB4744"/>
      <rgbColor rgb="FFFFFFCC"/>
      <rgbColor rgb="FFCCFFFF"/>
      <rgbColor rgb="FF660066"/>
      <rgbColor rgb="FFDC853E"/>
      <rgbColor rgb="FF4672A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Project Cost Distribution by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'Budget Summary'!$B$9</c:f>
              <c:strCache>
                <c:ptCount val="1"/>
                <c:pt idx="0">
                  <c:v>Total Cost (PKR)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98A-4645-8607-83B5E4753A56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98A-4645-8607-83B5E4753A56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98A-4645-8607-83B5E4753A56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98A-4645-8607-83B5E4753A56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98A-4645-8607-83B5E4753A56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98A-4645-8607-83B5E4753A56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D98A-4645-8607-83B5E4753A5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98A-4645-8607-83B5E4753A5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98A-4645-8607-83B5E4753A5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98A-4645-8607-83B5E4753A5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98A-4645-8607-83B5E4753A5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D98A-4645-8607-83B5E4753A5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D98A-4645-8607-83B5E4753A5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D98A-4645-8607-83B5E4753A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'Budget Summary'!$A$10:$A$16</c:f>
              <c:strCache>
                <c:ptCount val="7"/>
                <c:pt idx="0">
                  <c:v>Project Initiation</c:v>
                </c:pt>
                <c:pt idx="1">
                  <c:v>Requirements &amp; Planning</c:v>
                </c:pt>
                <c:pt idx="2">
                  <c:v>System Design</c:v>
                </c:pt>
                <c:pt idx="3">
                  <c:v>Development</c:v>
                </c:pt>
                <c:pt idx="4">
                  <c:v>Testing / Quality Assurance</c:v>
                </c:pt>
                <c:pt idx="5">
                  <c:v>Deployment</c:v>
                </c:pt>
                <c:pt idx="6">
                  <c:v>Project Closure</c:v>
                </c:pt>
              </c:strCache>
            </c:strRef>
          </c:cat>
          <c:val>
            <c:numRef>
              <c:f>'Budget Summary'!$B$10:$B$16</c:f>
              <c:numCache>
                <c:formatCode>#,##0.00" PKR"</c:formatCode>
                <c:ptCount val="7"/>
                <c:pt idx="0">
                  <c:v>1036000</c:v>
                </c:pt>
                <c:pt idx="1">
                  <c:v>952000</c:v>
                </c:pt>
                <c:pt idx="2">
                  <c:v>168000</c:v>
                </c:pt>
                <c:pt idx="3">
                  <c:v>532002.24</c:v>
                </c:pt>
                <c:pt idx="4">
                  <c:v>369600</c:v>
                </c:pt>
                <c:pt idx="5">
                  <c:v>312999.67999999999</c:v>
                </c:pt>
                <c:pt idx="6">
                  <c:v>756000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8A-4645-8607-83B5E4753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BFBFBF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Resource Cost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Summary'!$E$9</c:f>
              <c:strCache>
                <c:ptCount val="1"/>
                <c:pt idx="0">
                  <c:v>Total Pay (PKR)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Summary'!$D$10:$D$17</c:f>
              <c:strCache>
                <c:ptCount val="8"/>
                <c:pt idx="0">
                  <c:v>Project Manager</c:v>
                </c:pt>
                <c:pt idx="1">
                  <c:v>Team Lead</c:v>
                </c:pt>
                <c:pt idx="2">
                  <c:v>UI/UX Designer</c:v>
                </c:pt>
                <c:pt idx="3">
                  <c:v>Backend Developer</c:v>
                </c:pt>
                <c:pt idx="4">
                  <c:v>Frontend Developer</c:v>
                </c:pt>
                <c:pt idx="5">
                  <c:v>FullStack Developer</c:v>
                </c:pt>
                <c:pt idx="6">
                  <c:v>QA Engineer</c:v>
                </c:pt>
                <c:pt idx="7">
                  <c:v>Server (Hosting – Fixed Cost)</c:v>
                </c:pt>
              </c:strCache>
            </c:strRef>
          </c:cat>
          <c:val>
            <c:numRef>
              <c:f>'Budget Summary'!$E$10:$E$17</c:f>
              <c:numCache>
                <c:formatCode>#,##0.00" PKR"</c:formatCode>
                <c:ptCount val="8"/>
                <c:pt idx="0">
                  <c:v>2520000</c:v>
                </c:pt>
                <c:pt idx="1">
                  <c:v>784000</c:v>
                </c:pt>
                <c:pt idx="2">
                  <c:v>112000</c:v>
                </c:pt>
                <c:pt idx="3">
                  <c:v>280000</c:v>
                </c:pt>
                <c:pt idx="4">
                  <c:v>112000</c:v>
                </c:pt>
                <c:pt idx="5">
                  <c:v>224000</c:v>
                </c:pt>
                <c:pt idx="6">
                  <c:v>89600</c:v>
                </c:pt>
                <c:pt idx="7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3-4848-8D7E-0AA401E7D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5155079"/>
        <c:axId val="89386891"/>
      </c:barChart>
      <c:catAx>
        <c:axId val="251550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386891"/>
        <c:crosses val="autoZero"/>
        <c:auto val="1"/>
        <c:lblAlgn val="ctr"/>
        <c:lblOffset val="100"/>
        <c:noMultiLvlLbl val="0"/>
      </c:catAx>
      <c:valAx>
        <c:axId val="89386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Pay (PKR)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PKR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550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BFBFBF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3</xdr:col>
      <xdr:colOff>1044720</xdr:colOff>
      <xdr:row>35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0</xdr:rowOff>
    </xdr:from>
    <xdr:to>
      <xdr:col>16</xdr:col>
      <xdr:colOff>256320</xdr:colOff>
      <xdr:row>35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Normal="100" workbookViewId="0">
      <selection activeCell="F7" sqref="F7"/>
    </sheetView>
  </sheetViews>
  <sheetFormatPr defaultColWidth="8.6640625" defaultRowHeight="14.4" x14ac:dyDescent="0.3"/>
  <cols>
    <col min="1" max="1" width="26" customWidth="1"/>
    <col min="2" max="2" width="10" customWidth="1"/>
    <col min="3" max="3" width="14" customWidth="1"/>
    <col min="4" max="5" width="16" customWidth="1"/>
    <col min="6" max="6" width="18" customWidth="1"/>
  </cols>
  <sheetData>
    <row r="1" spans="1:6" ht="25.5" customHeight="1" x14ac:dyDescent="0.3">
      <c r="A1" s="3" t="s">
        <v>0</v>
      </c>
      <c r="B1" s="3"/>
      <c r="C1" s="3"/>
      <c r="D1" s="3"/>
      <c r="E1" s="3"/>
    </row>
    <row r="2" spans="1:6" x14ac:dyDescent="0.3">
      <c r="A2" s="2" t="s">
        <v>1</v>
      </c>
      <c r="B2" s="2"/>
      <c r="C2" s="2"/>
      <c r="D2" s="2"/>
      <c r="E2" s="2"/>
    </row>
    <row r="4" spans="1:6" ht="27.6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">
      <c r="A5" s="5" t="s">
        <v>8</v>
      </c>
      <c r="B5" s="5">
        <v>28</v>
      </c>
      <c r="C5" s="5">
        <v>8</v>
      </c>
      <c r="D5" s="5">
        <f t="shared" ref="D5:D11" si="0">B5*C5</f>
        <v>224</v>
      </c>
      <c r="E5" s="6">
        <v>4625</v>
      </c>
      <c r="F5" s="6">
        <f t="shared" ref="F5:F11" si="1">D5*E5</f>
        <v>1036000</v>
      </c>
    </row>
    <row r="6" spans="1:6" x14ac:dyDescent="0.3">
      <c r="A6" s="5" t="s">
        <v>9</v>
      </c>
      <c r="B6" s="5">
        <v>28</v>
      </c>
      <c r="C6" s="5">
        <v>8</v>
      </c>
      <c r="D6" s="5">
        <f t="shared" si="0"/>
        <v>224</v>
      </c>
      <c r="E6" s="6">
        <v>4250</v>
      </c>
      <c r="F6" s="6">
        <f t="shared" si="1"/>
        <v>952000</v>
      </c>
    </row>
    <row r="7" spans="1:6" x14ac:dyDescent="0.3">
      <c r="A7" s="5" t="s">
        <v>10</v>
      </c>
      <c r="B7" s="5">
        <v>14</v>
      </c>
      <c r="C7" s="5">
        <v>8</v>
      </c>
      <c r="D7" s="5">
        <f t="shared" si="0"/>
        <v>112</v>
      </c>
      <c r="E7" s="6">
        <v>1500</v>
      </c>
      <c r="F7" s="6">
        <f t="shared" si="1"/>
        <v>168000</v>
      </c>
    </row>
    <row r="8" spans="1:6" x14ac:dyDescent="0.3">
      <c r="A8" s="5" t="s">
        <v>11</v>
      </c>
      <c r="B8" s="5">
        <v>84</v>
      </c>
      <c r="C8" s="5">
        <v>8</v>
      </c>
      <c r="D8" s="5">
        <f t="shared" si="0"/>
        <v>672</v>
      </c>
      <c r="E8" s="6">
        <v>791.67</v>
      </c>
      <c r="F8" s="6">
        <f t="shared" si="1"/>
        <v>532002.24</v>
      </c>
    </row>
    <row r="9" spans="1:6" x14ac:dyDescent="0.3">
      <c r="A9" s="5" t="s">
        <v>12</v>
      </c>
      <c r="B9" s="5">
        <v>21</v>
      </c>
      <c r="C9" s="5">
        <v>8</v>
      </c>
      <c r="D9" s="5">
        <f t="shared" si="0"/>
        <v>168</v>
      </c>
      <c r="E9" s="6">
        <v>2200</v>
      </c>
      <c r="F9" s="6">
        <f t="shared" si="1"/>
        <v>369600</v>
      </c>
    </row>
    <row r="10" spans="1:6" x14ac:dyDescent="0.3">
      <c r="A10" s="5" t="s">
        <v>13</v>
      </c>
      <c r="B10" s="5">
        <v>14</v>
      </c>
      <c r="C10" s="5">
        <v>8</v>
      </c>
      <c r="D10" s="5">
        <f t="shared" si="0"/>
        <v>112</v>
      </c>
      <c r="E10" s="6">
        <v>2794.64</v>
      </c>
      <c r="F10" s="6">
        <f t="shared" si="1"/>
        <v>312999.67999999999</v>
      </c>
    </row>
    <row r="11" spans="1:6" x14ac:dyDescent="0.3">
      <c r="A11" s="5" t="s">
        <v>14</v>
      </c>
      <c r="B11" s="5">
        <v>21</v>
      </c>
      <c r="C11" s="5">
        <v>8</v>
      </c>
      <c r="D11" s="5">
        <f t="shared" si="0"/>
        <v>168</v>
      </c>
      <c r="E11" s="6">
        <v>4500</v>
      </c>
      <c r="F11" s="6">
        <f t="shared" si="1"/>
        <v>756000</v>
      </c>
    </row>
    <row r="12" spans="1:6" x14ac:dyDescent="0.3">
      <c r="A12" s="1" t="s">
        <v>15</v>
      </c>
      <c r="B12" s="1"/>
      <c r="C12" s="1"/>
      <c r="D12" s="7">
        <f>SUM(D5:D11)</f>
        <v>1680</v>
      </c>
      <c r="E12" s="7"/>
      <c r="F12" s="8">
        <f>SUM(F5:F11)</f>
        <v>4126601.9200000004</v>
      </c>
    </row>
  </sheetData>
  <mergeCells count="3">
    <mergeCell ref="A1:E1"/>
    <mergeCell ref="A2:E2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>
      <selection activeCell="C5" sqref="C5"/>
    </sheetView>
  </sheetViews>
  <sheetFormatPr defaultColWidth="8.6640625" defaultRowHeight="14.4" x14ac:dyDescent="0.3"/>
  <cols>
    <col min="1" max="1" width="28" customWidth="1"/>
    <col min="2" max="2" width="12" customWidth="1"/>
    <col min="3" max="3" width="12.6640625" customWidth="1"/>
    <col min="4" max="4" width="16" customWidth="1"/>
    <col min="5" max="5" width="14" customWidth="1"/>
    <col min="6" max="6" width="20.21875" customWidth="1"/>
  </cols>
  <sheetData>
    <row r="1" spans="1:6" ht="25.5" customHeight="1" x14ac:dyDescent="0.3">
      <c r="A1" s="3" t="s">
        <v>16</v>
      </c>
      <c r="B1" s="3"/>
      <c r="C1" s="3"/>
      <c r="D1" s="3"/>
      <c r="E1" s="3"/>
      <c r="F1" s="3"/>
    </row>
    <row r="3" spans="1:6" ht="27.6" x14ac:dyDescent="0.3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</row>
    <row r="4" spans="1:6" x14ac:dyDescent="0.3">
      <c r="A4" s="5" t="s">
        <v>23</v>
      </c>
      <c r="B4" s="5">
        <v>63</v>
      </c>
      <c r="C4" s="5">
        <v>8</v>
      </c>
      <c r="D4" s="5">
        <f t="shared" ref="D4:D10" si="0">B4*C4</f>
        <v>504</v>
      </c>
      <c r="E4" s="6">
        <v>5000</v>
      </c>
      <c r="F4" s="6">
        <f t="shared" ref="F4:F10" si="1">D4*E4</f>
        <v>2520000</v>
      </c>
    </row>
    <row r="5" spans="1:6" x14ac:dyDescent="0.3">
      <c r="A5" s="5" t="s">
        <v>24</v>
      </c>
      <c r="B5" s="5">
        <v>28</v>
      </c>
      <c r="C5" s="5">
        <v>8</v>
      </c>
      <c r="D5" s="5">
        <f t="shared" si="0"/>
        <v>224</v>
      </c>
      <c r="E5" s="6">
        <v>3500</v>
      </c>
      <c r="F5" s="6">
        <f t="shared" si="1"/>
        <v>784000</v>
      </c>
    </row>
    <row r="6" spans="1:6" x14ac:dyDescent="0.3">
      <c r="A6" s="5" t="s">
        <v>25</v>
      </c>
      <c r="B6" s="5">
        <v>7</v>
      </c>
      <c r="C6" s="5">
        <v>8</v>
      </c>
      <c r="D6" s="5">
        <f t="shared" si="0"/>
        <v>56</v>
      </c>
      <c r="E6" s="6">
        <v>2000</v>
      </c>
      <c r="F6" s="6">
        <f t="shared" si="1"/>
        <v>112000</v>
      </c>
    </row>
    <row r="7" spans="1:6" x14ac:dyDescent="0.3">
      <c r="A7" s="5" t="s">
        <v>26</v>
      </c>
      <c r="B7" s="5">
        <v>35</v>
      </c>
      <c r="C7" s="5">
        <v>8</v>
      </c>
      <c r="D7" s="5">
        <f t="shared" si="0"/>
        <v>280</v>
      </c>
      <c r="E7" s="6">
        <v>1000</v>
      </c>
      <c r="F7" s="6">
        <f t="shared" si="1"/>
        <v>280000</v>
      </c>
    </row>
    <row r="8" spans="1:6" x14ac:dyDescent="0.3">
      <c r="A8" s="5" t="s">
        <v>27</v>
      </c>
      <c r="B8" s="5">
        <v>7</v>
      </c>
      <c r="C8" s="5">
        <v>8</v>
      </c>
      <c r="D8" s="5">
        <f t="shared" si="0"/>
        <v>56</v>
      </c>
      <c r="E8" s="6">
        <v>2000</v>
      </c>
      <c r="F8" s="6">
        <f t="shared" si="1"/>
        <v>112000</v>
      </c>
    </row>
    <row r="9" spans="1:6" x14ac:dyDescent="0.3">
      <c r="A9" s="5" t="s">
        <v>28</v>
      </c>
      <c r="B9" s="5">
        <v>56</v>
      </c>
      <c r="C9" s="5">
        <v>8</v>
      </c>
      <c r="D9" s="5">
        <f t="shared" si="0"/>
        <v>448</v>
      </c>
      <c r="E9" s="6">
        <v>500</v>
      </c>
      <c r="F9" s="6">
        <f t="shared" si="1"/>
        <v>224000</v>
      </c>
    </row>
    <row r="10" spans="1:6" x14ac:dyDescent="0.3">
      <c r="A10" s="5" t="s">
        <v>29</v>
      </c>
      <c r="B10" s="5">
        <v>14</v>
      </c>
      <c r="C10" s="5">
        <v>8</v>
      </c>
      <c r="D10" s="5">
        <f t="shared" si="0"/>
        <v>112</v>
      </c>
      <c r="E10" s="6">
        <v>800</v>
      </c>
      <c r="F10" s="6">
        <f t="shared" si="1"/>
        <v>89600</v>
      </c>
    </row>
    <row r="11" spans="1:6" x14ac:dyDescent="0.3">
      <c r="A11" s="5" t="s">
        <v>30</v>
      </c>
      <c r="B11" s="5" t="s">
        <v>31</v>
      </c>
      <c r="C11" s="5" t="s">
        <v>31</v>
      </c>
      <c r="D11" s="5" t="s">
        <v>31</v>
      </c>
      <c r="E11" s="5" t="s">
        <v>31</v>
      </c>
      <c r="F11" s="6">
        <v>5000</v>
      </c>
    </row>
    <row r="12" spans="1:6" x14ac:dyDescent="0.3">
      <c r="A12" s="1" t="s">
        <v>32</v>
      </c>
      <c r="B12" s="1"/>
      <c r="C12" s="1"/>
      <c r="D12" s="1"/>
      <c r="E12" s="1"/>
      <c r="F12" s="8">
        <f>SUM(F4:F11)</f>
        <v>4126600</v>
      </c>
    </row>
  </sheetData>
  <mergeCells count="2">
    <mergeCell ref="A1:F1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abSelected="1" zoomScaleNormal="100" workbookViewId="0">
      <selection activeCell="A3" sqref="A3"/>
    </sheetView>
  </sheetViews>
  <sheetFormatPr defaultColWidth="8.6640625" defaultRowHeight="14.4" x14ac:dyDescent="0.3"/>
  <cols>
    <col min="1" max="1" width="28" customWidth="1"/>
    <col min="2" max="2" width="20" customWidth="1"/>
    <col min="4" max="4" width="26" customWidth="1"/>
    <col min="5" max="5" width="18" customWidth="1"/>
  </cols>
  <sheetData>
    <row r="1" spans="1:5" ht="25.5" customHeight="1" x14ac:dyDescent="0.3">
      <c r="A1" s="3" t="s">
        <v>33</v>
      </c>
      <c r="B1" s="3"/>
      <c r="C1" s="3"/>
      <c r="D1" s="3"/>
    </row>
    <row r="3" spans="1:5" x14ac:dyDescent="0.3">
      <c r="A3" s="9" t="s">
        <v>34</v>
      </c>
      <c r="B3" s="10">
        <f>'Task Cost Estimation'!F12</f>
        <v>4126601.9200000004</v>
      </c>
    </row>
    <row r="4" spans="1:5" x14ac:dyDescent="0.3">
      <c r="A4" s="9" t="s">
        <v>35</v>
      </c>
      <c r="B4" s="10">
        <f>'Resource Cost Estimation'!F12</f>
        <v>4126600</v>
      </c>
    </row>
    <row r="5" spans="1:5" x14ac:dyDescent="0.3">
      <c r="A5" s="9" t="s">
        <v>36</v>
      </c>
      <c r="B5" s="10">
        <v>2800000</v>
      </c>
    </row>
    <row r="6" spans="1:5" x14ac:dyDescent="0.3">
      <c r="A6" s="9" t="s">
        <v>37</v>
      </c>
      <c r="B6" s="11" t="str">
        <f>IF(B3&gt;B5,"Over Budget","Within Budget")</f>
        <v>Over Budget</v>
      </c>
    </row>
    <row r="9" spans="1:5" x14ac:dyDescent="0.3">
      <c r="A9" s="4" t="s">
        <v>38</v>
      </c>
      <c r="B9" s="4" t="s">
        <v>7</v>
      </c>
      <c r="D9" s="4" t="s">
        <v>39</v>
      </c>
      <c r="E9" s="4" t="s">
        <v>22</v>
      </c>
    </row>
    <row r="10" spans="1:5" x14ac:dyDescent="0.3">
      <c r="A10" s="5" t="str">
        <f>'Task Cost Estimation'!A5</f>
        <v>Project Initiation</v>
      </c>
      <c r="B10" s="6">
        <f>'Task Cost Estimation'!F5</f>
        <v>1036000</v>
      </c>
      <c r="D10" s="5" t="str">
        <f>'Resource Cost Estimation'!A4</f>
        <v>Project Manager</v>
      </c>
      <c r="E10" s="6">
        <f>'Resource Cost Estimation'!F4</f>
        <v>2520000</v>
      </c>
    </row>
    <row r="11" spans="1:5" x14ac:dyDescent="0.3">
      <c r="A11" s="5" t="str">
        <f>'Task Cost Estimation'!A6</f>
        <v>Requirements &amp; Planning</v>
      </c>
      <c r="B11" s="6">
        <f>'Task Cost Estimation'!F6</f>
        <v>952000</v>
      </c>
      <c r="D11" s="5" t="str">
        <f>'Resource Cost Estimation'!A5</f>
        <v>Team Lead</v>
      </c>
      <c r="E11" s="6">
        <f>'Resource Cost Estimation'!F5</f>
        <v>784000</v>
      </c>
    </row>
    <row r="12" spans="1:5" x14ac:dyDescent="0.3">
      <c r="A12" s="5" t="str">
        <f>'Task Cost Estimation'!A7</f>
        <v>System Design</v>
      </c>
      <c r="B12" s="6">
        <f>'Task Cost Estimation'!F7</f>
        <v>168000</v>
      </c>
      <c r="D12" s="5" t="str">
        <f>'Resource Cost Estimation'!A6</f>
        <v>UI/UX Designer</v>
      </c>
      <c r="E12" s="6">
        <f>'Resource Cost Estimation'!F6</f>
        <v>112000</v>
      </c>
    </row>
    <row r="13" spans="1:5" x14ac:dyDescent="0.3">
      <c r="A13" s="5" t="str">
        <f>'Task Cost Estimation'!A8</f>
        <v>Development</v>
      </c>
      <c r="B13" s="6">
        <f>'Task Cost Estimation'!F8</f>
        <v>532002.24</v>
      </c>
      <c r="D13" s="5" t="str">
        <f>'Resource Cost Estimation'!A7</f>
        <v>Backend Developer</v>
      </c>
      <c r="E13" s="6">
        <f>'Resource Cost Estimation'!F7</f>
        <v>280000</v>
      </c>
    </row>
    <row r="14" spans="1:5" x14ac:dyDescent="0.3">
      <c r="A14" s="5" t="str">
        <f>'Task Cost Estimation'!A9</f>
        <v>Testing / Quality Assurance</v>
      </c>
      <c r="B14" s="6">
        <f>'Task Cost Estimation'!F9</f>
        <v>369600</v>
      </c>
      <c r="D14" s="5" t="str">
        <f>'Resource Cost Estimation'!A8</f>
        <v>Frontend Developer</v>
      </c>
      <c r="E14" s="6">
        <f>'Resource Cost Estimation'!F8</f>
        <v>112000</v>
      </c>
    </row>
    <row r="15" spans="1:5" x14ac:dyDescent="0.3">
      <c r="A15" s="5" t="str">
        <f>'Task Cost Estimation'!A10</f>
        <v>Deployment</v>
      </c>
      <c r="B15" s="6">
        <f>'Task Cost Estimation'!F10</f>
        <v>312999.67999999999</v>
      </c>
      <c r="D15" s="5" t="str">
        <f>'Resource Cost Estimation'!A9</f>
        <v>FullStack Developer</v>
      </c>
      <c r="E15" s="6">
        <f>'Resource Cost Estimation'!F9</f>
        <v>224000</v>
      </c>
    </row>
    <row r="16" spans="1:5" x14ac:dyDescent="0.3">
      <c r="A16" s="5" t="str">
        <f>'Task Cost Estimation'!A11</f>
        <v>Project Closure</v>
      </c>
      <c r="B16" s="6">
        <f>'Task Cost Estimation'!F11</f>
        <v>756000</v>
      </c>
      <c r="D16" s="5" t="str">
        <f>'Resource Cost Estimation'!A10</f>
        <v>QA Engineer</v>
      </c>
      <c r="E16" s="6">
        <f>'Resource Cost Estimation'!F10</f>
        <v>89600</v>
      </c>
    </row>
    <row r="17" spans="4:5" x14ac:dyDescent="0.3">
      <c r="D17" s="5" t="str">
        <f>'Resource Cost Estimation'!A11</f>
        <v>Server (Hosting – Fixed Cost)</v>
      </c>
      <c r="E17" s="6">
        <f>'Resource Cost Estimation'!F11</f>
        <v>5000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Cost Estimation</vt:lpstr>
      <vt:lpstr>Resource Cost Estimation</vt:lpstr>
      <vt:lpstr>Budget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ibm</cp:lastModifiedBy>
  <cp:revision>1</cp:revision>
  <dcterms:created xsi:type="dcterms:W3CDTF">2026-07-15T13:22:38Z</dcterms:created>
  <dcterms:modified xsi:type="dcterms:W3CDTF">2026-07-15T13:37:38Z</dcterms:modified>
  <dc:language>en-US</dc:language>
</cp:coreProperties>
</file>